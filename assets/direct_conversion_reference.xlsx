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2104\OneDrive\Desktop\~2025 파일\택배출고용\"/>
    </mc:Choice>
  </mc:AlternateContent>
  <xr:revisionPtr revIDLastSave="0" documentId="13_ncr:1_{E7BCD3C2-4C7E-4403-B902-004BD52531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포인트몰양식" sheetId="1" r:id="rId1"/>
    <sheet name="리큐엠송장양식" sheetId="3" r:id="rId2"/>
    <sheet name="데이터_new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3" l="1" a="1"/>
  <c r="J19" i="3" s="1"/>
  <c r="J20" i="3" a="1"/>
  <c r="J20" i="3" s="1"/>
  <c r="J18" i="3" a="1"/>
  <c r="J18" i="3" s="1"/>
  <c r="I19" i="3"/>
  <c r="I14" i="3"/>
  <c r="J500" i="3" a="1"/>
  <c r="J500" i="3" s="1"/>
  <c r="I500" i="3"/>
  <c r="J499" i="3" a="1"/>
  <c r="J499" i="3" s="1"/>
  <c r="I499" i="3"/>
  <c r="J498" i="3" a="1"/>
  <c r="J498" i="3" s="1"/>
  <c r="I498" i="3"/>
  <c r="J497" i="3" a="1"/>
  <c r="J497" i="3" s="1"/>
  <c r="I497" i="3"/>
  <c r="J496" i="3" a="1"/>
  <c r="J496" i="3" s="1"/>
  <c r="I496" i="3"/>
  <c r="J495" i="3" a="1"/>
  <c r="J495" i="3" s="1"/>
  <c r="I495" i="3"/>
  <c r="J494" i="3" a="1"/>
  <c r="J494" i="3" s="1"/>
  <c r="I494" i="3"/>
  <c r="J493" i="3" a="1"/>
  <c r="J493" i="3" s="1"/>
  <c r="I493" i="3"/>
  <c r="J492" i="3" a="1"/>
  <c r="J492" i="3" s="1"/>
  <c r="I492" i="3"/>
  <c r="J491" i="3" a="1"/>
  <c r="J491" i="3" s="1"/>
  <c r="I491" i="3"/>
  <c r="J490" i="3" a="1"/>
  <c r="J490" i="3" s="1"/>
  <c r="I490" i="3"/>
  <c r="J489" i="3" a="1"/>
  <c r="J489" i="3" s="1"/>
  <c r="I489" i="3"/>
  <c r="J488" i="3" a="1"/>
  <c r="J488" i="3" s="1"/>
  <c r="I488" i="3"/>
  <c r="J487" i="3" a="1"/>
  <c r="J487" i="3" s="1"/>
  <c r="I487" i="3"/>
  <c r="J486" i="3" a="1"/>
  <c r="J486" i="3" s="1"/>
  <c r="I486" i="3"/>
  <c r="J485" i="3" a="1"/>
  <c r="J485" i="3" s="1"/>
  <c r="I485" i="3"/>
  <c r="J484" i="3" a="1"/>
  <c r="J484" i="3" s="1"/>
  <c r="I484" i="3"/>
  <c r="J483" i="3" a="1"/>
  <c r="J483" i="3" s="1"/>
  <c r="I483" i="3"/>
  <c r="J482" i="3" a="1"/>
  <c r="J482" i="3" s="1"/>
  <c r="I482" i="3"/>
  <c r="J481" i="3" a="1"/>
  <c r="J481" i="3" s="1"/>
  <c r="I481" i="3"/>
  <c r="J480" i="3" a="1"/>
  <c r="J480" i="3" s="1"/>
  <c r="I480" i="3"/>
  <c r="J479" i="3" a="1"/>
  <c r="J479" i="3" s="1"/>
  <c r="I479" i="3"/>
  <c r="J478" i="3" a="1"/>
  <c r="J478" i="3" s="1"/>
  <c r="I478" i="3"/>
  <c r="J477" i="3" a="1"/>
  <c r="J477" i="3" s="1"/>
  <c r="I477" i="3"/>
  <c r="J476" i="3" a="1"/>
  <c r="J476" i="3" s="1"/>
  <c r="I476" i="3"/>
  <c r="J475" i="3" a="1"/>
  <c r="J475" i="3" s="1"/>
  <c r="I475" i="3"/>
  <c r="J474" i="3" a="1"/>
  <c r="J474" i="3" s="1"/>
  <c r="I474" i="3"/>
  <c r="J473" i="3" a="1"/>
  <c r="J473" i="3" s="1"/>
  <c r="I473" i="3"/>
  <c r="J472" i="3" a="1"/>
  <c r="J472" i="3" s="1"/>
  <c r="I472" i="3"/>
  <c r="J471" i="3" a="1"/>
  <c r="J471" i="3" s="1"/>
  <c r="I471" i="3"/>
  <c r="J470" i="3" a="1"/>
  <c r="J470" i="3" s="1"/>
  <c r="I470" i="3"/>
  <c r="J469" i="3" a="1"/>
  <c r="J469" i="3" s="1"/>
  <c r="I469" i="3"/>
  <c r="J468" i="3" a="1"/>
  <c r="J468" i="3" s="1"/>
  <c r="I468" i="3"/>
  <c r="J467" i="3" a="1"/>
  <c r="J467" i="3" s="1"/>
  <c r="I467" i="3"/>
  <c r="J466" i="3" a="1"/>
  <c r="J466" i="3" s="1"/>
  <c r="I466" i="3"/>
  <c r="J465" i="3" a="1"/>
  <c r="J465" i="3" s="1"/>
  <c r="I465" i="3"/>
  <c r="J464" i="3" a="1"/>
  <c r="J464" i="3" s="1"/>
  <c r="I464" i="3"/>
  <c r="J463" i="3" a="1"/>
  <c r="J463" i="3" s="1"/>
  <c r="I463" i="3"/>
  <c r="J462" i="3" a="1"/>
  <c r="J462" i="3" s="1"/>
  <c r="I462" i="3"/>
  <c r="J461" i="3" a="1"/>
  <c r="J461" i="3" s="1"/>
  <c r="I461" i="3"/>
  <c r="J460" i="3" a="1"/>
  <c r="J460" i="3" s="1"/>
  <c r="I460" i="3"/>
  <c r="J459" i="3" a="1"/>
  <c r="J459" i="3" s="1"/>
  <c r="I459" i="3"/>
  <c r="J458" i="3" a="1"/>
  <c r="J458" i="3" s="1"/>
  <c r="I458" i="3"/>
  <c r="J457" i="3" a="1"/>
  <c r="J457" i="3" s="1"/>
  <c r="I457" i="3"/>
  <c r="J456" i="3"/>
  <c r="J456" i="3" a="1"/>
  <c r="I456" i="3"/>
  <c r="J455" i="3" a="1"/>
  <c r="J455" i="3" s="1"/>
  <c r="I455" i="3"/>
  <c r="J454" i="3" a="1"/>
  <c r="J454" i="3" s="1"/>
  <c r="I454" i="3"/>
  <c r="J453" i="3" a="1"/>
  <c r="J453" i="3" s="1"/>
  <c r="I453" i="3"/>
  <c r="J452" i="3" a="1"/>
  <c r="J452" i="3" s="1"/>
  <c r="I452" i="3"/>
  <c r="J451" i="3" a="1"/>
  <c r="J451" i="3" s="1"/>
  <c r="I451" i="3"/>
  <c r="J450" i="3" a="1"/>
  <c r="J450" i="3" s="1"/>
  <c r="I450" i="3"/>
  <c r="J449" i="3" a="1"/>
  <c r="J449" i="3" s="1"/>
  <c r="I449" i="3"/>
  <c r="J448" i="3" a="1"/>
  <c r="J448" i="3" s="1"/>
  <c r="I448" i="3"/>
  <c r="J447" i="3" a="1"/>
  <c r="J447" i="3" s="1"/>
  <c r="I447" i="3"/>
  <c r="J446" i="3" a="1"/>
  <c r="J446" i="3" s="1"/>
  <c r="I446" i="3"/>
  <c r="J445" i="3" a="1"/>
  <c r="J445" i="3" s="1"/>
  <c r="I445" i="3"/>
  <c r="J444" i="3" a="1"/>
  <c r="J444" i="3" s="1"/>
  <c r="I444" i="3"/>
  <c r="J443" i="3" a="1"/>
  <c r="J443" i="3" s="1"/>
  <c r="I443" i="3"/>
  <c r="J442" i="3" a="1"/>
  <c r="J442" i="3" s="1"/>
  <c r="I442" i="3"/>
  <c r="J441" i="3" a="1"/>
  <c r="J441" i="3" s="1"/>
  <c r="I441" i="3"/>
  <c r="J440" i="3" a="1"/>
  <c r="J440" i="3" s="1"/>
  <c r="I440" i="3"/>
  <c r="J439" i="3" a="1"/>
  <c r="J439" i="3" s="1"/>
  <c r="I439" i="3"/>
  <c r="J438" i="3" a="1"/>
  <c r="J438" i="3" s="1"/>
  <c r="I438" i="3"/>
  <c r="J437" i="3" a="1"/>
  <c r="J437" i="3" s="1"/>
  <c r="I437" i="3"/>
  <c r="J436" i="3" a="1"/>
  <c r="J436" i="3" s="1"/>
  <c r="I436" i="3"/>
  <c r="J435" i="3" a="1"/>
  <c r="J435" i="3" s="1"/>
  <c r="I435" i="3"/>
  <c r="J434" i="3" a="1"/>
  <c r="J434" i="3" s="1"/>
  <c r="I434" i="3"/>
  <c r="J433" i="3" a="1"/>
  <c r="J433" i="3" s="1"/>
  <c r="I433" i="3"/>
  <c r="J432" i="3" a="1"/>
  <c r="J432" i="3" s="1"/>
  <c r="I432" i="3"/>
  <c r="J431" i="3" a="1"/>
  <c r="J431" i="3" s="1"/>
  <c r="I431" i="3"/>
  <c r="J430" i="3" a="1"/>
  <c r="J430" i="3" s="1"/>
  <c r="I430" i="3"/>
  <c r="J429" i="3" a="1"/>
  <c r="J429" i="3" s="1"/>
  <c r="I429" i="3"/>
  <c r="J428" i="3" a="1"/>
  <c r="J428" i="3" s="1"/>
  <c r="I428" i="3"/>
  <c r="J427" i="3" a="1"/>
  <c r="J427" i="3" s="1"/>
  <c r="I427" i="3"/>
  <c r="J426" i="3" a="1"/>
  <c r="J426" i="3" s="1"/>
  <c r="I426" i="3"/>
  <c r="J425" i="3" a="1"/>
  <c r="J425" i="3" s="1"/>
  <c r="I425" i="3"/>
  <c r="J424" i="3" a="1"/>
  <c r="J424" i="3" s="1"/>
  <c r="I424" i="3"/>
  <c r="J423" i="3" a="1"/>
  <c r="J423" i="3" s="1"/>
  <c r="I423" i="3"/>
  <c r="J422" i="3" a="1"/>
  <c r="J422" i="3" s="1"/>
  <c r="I422" i="3"/>
  <c r="J421" i="3" a="1"/>
  <c r="J421" i="3" s="1"/>
  <c r="I421" i="3"/>
  <c r="J420" i="3" a="1"/>
  <c r="J420" i="3" s="1"/>
  <c r="I420" i="3"/>
  <c r="J419" i="3" a="1"/>
  <c r="J419" i="3" s="1"/>
  <c r="I419" i="3"/>
  <c r="J418" i="3" a="1"/>
  <c r="J418" i="3" s="1"/>
  <c r="I418" i="3"/>
  <c r="J417" i="3" a="1"/>
  <c r="J417" i="3" s="1"/>
  <c r="I417" i="3"/>
  <c r="J416" i="3" a="1"/>
  <c r="J416" i="3" s="1"/>
  <c r="I416" i="3"/>
  <c r="J415" i="3" a="1"/>
  <c r="J415" i="3" s="1"/>
  <c r="I415" i="3"/>
  <c r="J414" i="3" a="1"/>
  <c r="J414" i="3" s="1"/>
  <c r="I414" i="3"/>
  <c r="J413" i="3" a="1"/>
  <c r="J413" i="3" s="1"/>
  <c r="I413" i="3"/>
  <c r="J412" i="3" a="1"/>
  <c r="J412" i="3" s="1"/>
  <c r="I412" i="3"/>
  <c r="J411" i="3" a="1"/>
  <c r="J411" i="3" s="1"/>
  <c r="I411" i="3"/>
  <c r="J410" i="3" a="1"/>
  <c r="J410" i="3" s="1"/>
  <c r="I410" i="3"/>
  <c r="J409" i="3" a="1"/>
  <c r="J409" i="3" s="1"/>
  <c r="I409" i="3"/>
  <c r="J408" i="3" a="1"/>
  <c r="J408" i="3" s="1"/>
  <c r="I408" i="3"/>
  <c r="J407" i="3" a="1"/>
  <c r="J407" i="3" s="1"/>
  <c r="I407" i="3"/>
  <c r="J406" i="3" a="1"/>
  <c r="J406" i="3" s="1"/>
  <c r="I406" i="3"/>
  <c r="J405" i="3" a="1"/>
  <c r="J405" i="3" s="1"/>
  <c r="I405" i="3"/>
  <c r="J404" i="3" a="1"/>
  <c r="J404" i="3" s="1"/>
  <c r="I404" i="3"/>
  <c r="J403" i="3" a="1"/>
  <c r="J403" i="3" s="1"/>
  <c r="I403" i="3"/>
  <c r="J402" i="3" a="1"/>
  <c r="J402" i="3" s="1"/>
  <c r="I402" i="3"/>
  <c r="J401" i="3" a="1"/>
  <c r="J401" i="3" s="1"/>
  <c r="I401" i="3"/>
  <c r="J400" i="3" a="1"/>
  <c r="J400" i="3" s="1"/>
  <c r="I400" i="3"/>
  <c r="J399" i="3" a="1"/>
  <c r="J399" i="3" s="1"/>
  <c r="I399" i="3"/>
  <c r="J398" i="3" a="1"/>
  <c r="J398" i="3" s="1"/>
  <c r="I398" i="3"/>
  <c r="J397" i="3" a="1"/>
  <c r="J397" i="3" s="1"/>
  <c r="I397" i="3"/>
  <c r="J396" i="3" a="1"/>
  <c r="J396" i="3" s="1"/>
  <c r="I396" i="3"/>
  <c r="J395" i="3" a="1"/>
  <c r="J395" i="3" s="1"/>
  <c r="I395" i="3"/>
  <c r="J394" i="3" a="1"/>
  <c r="J394" i="3" s="1"/>
  <c r="I394" i="3"/>
  <c r="J393" i="3" a="1"/>
  <c r="J393" i="3" s="1"/>
  <c r="I393" i="3"/>
  <c r="J392" i="3" a="1"/>
  <c r="J392" i="3" s="1"/>
  <c r="I392" i="3"/>
  <c r="J391" i="3" a="1"/>
  <c r="J391" i="3" s="1"/>
  <c r="I391" i="3"/>
  <c r="J390" i="3" a="1"/>
  <c r="J390" i="3" s="1"/>
  <c r="I390" i="3"/>
  <c r="J389" i="3" a="1"/>
  <c r="J389" i="3" s="1"/>
  <c r="I389" i="3"/>
  <c r="J388" i="3" a="1"/>
  <c r="J388" i="3" s="1"/>
  <c r="I388" i="3"/>
  <c r="J387" i="3" a="1"/>
  <c r="J387" i="3" s="1"/>
  <c r="I387" i="3"/>
  <c r="J386" i="3" a="1"/>
  <c r="J386" i="3" s="1"/>
  <c r="I386" i="3"/>
  <c r="J385" i="3" a="1"/>
  <c r="J385" i="3" s="1"/>
  <c r="I385" i="3"/>
  <c r="J384" i="3" a="1"/>
  <c r="J384" i="3" s="1"/>
  <c r="I384" i="3"/>
  <c r="J383" i="3" a="1"/>
  <c r="J383" i="3" s="1"/>
  <c r="I383" i="3"/>
  <c r="J382" i="3" a="1"/>
  <c r="J382" i="3" s="1"/>
  <c r="I382" i="3"/>
  <c r="J381" i="3" a="1"/>
  <c r="J381" i="3" s="1"/>
  <c r="I381" i="3"/>
  <c r="J380" i="3" a="1"/>
  <c r="J380" i="3" s="1"/>
  <c r="I380" i="3"/>
  <c r="J379" i="3" a="1"/>
  <c r="J379" i="3" s="1"/>
  <c r="I379" i="3"/>
  <c r="J378" i="3" a="1"/>
  <c r="J378" i="3" s="1"/>
  <c r="I378" i="3"/>
  <c r="J377" i="3" a="1"/>
  <c r="J377" i="3" s="1"/>
  <c r="I377" i="3"/>
  <c r="J376" i="3" a="1"/>
  <c r="J376" i="3" s="1"/>
  <c r="I376" i="3"/>
  <c r="J375" i="3" a="1"/>
  <c r="J375" i="3" s="1"/>
  <c r="I375" i="3"/>
  <c r="J374" i="3" a="1"/>
  <c r="J374" i="3" s="1"/>
  <c r="I374" i="3"/>
  <c r="J373" i="3" a="1"/>
  <c r="J373" i="3" s="1"/>
  <c r="I373" i="3"/>
  <c r="J372" i="3" a="1"/>
  <c r="J372" i="3" s="1"/>
  <c r="I372" i="3"/>
  <c r="J371" i="3" a="1"/>
  <c r="J371" i="3" s="1"/>
  <c r="I371" i="3"/>
  <c r="J370" i="3" a="1"/>
  <c r="J370" i="3" s="1"/>
  <c r="I370" i="3"/>
  <c r="J369" i="3" a="1"/>
  <c r="J369" i="3" s="1"/>
  <c r="I369" i="3"/>
  <c r="J368" i="3" a="1"/>
  <c r="J368" i="3" s="1"/>
  <c r="I368" i="3"/>
  <c r="J367" i="3" a="1"/>
  <c r="J367" i="3" s="1"/>
  <c r="I367" i="3"/>
  <c r="J366" i="3" a="1"/>
  <c r="J366" i="3" s="1"/>
  <c r="I366" i="3"/>
  <c r="J365" i="3" a="1"/>
  <c r="J365" i="3" s="1"/>
  <c r="I365" i="3"/>
  <c r="J364" i="3" a="1"/>
  <c r="J364" i="3" s="1"/>
  <c r="I364" i="3"/>
  <c r="J363" i="3" a="1"/>
  <c r="J363" i="3" s="1"/>
  <c r="I363" i="3"/>
  <c r="J362" i="3" a="1"/>
  <c r="J362" i="3" s="1"/>
  <c r="I362" i="3"/>
  <c r="J361" i="3" a="1"/>
  <c r="J361" i="3" s="1"/>
  <c r="I361" i="3"/>
  <c r="J360" i="3" a="1"/>
  <c r="J360" i="3" s="1"/>
  <c r="I360" i="3"/>
  <c r="J359" i="3" a="1"/>
  <c r="J359" i="3" s="1"/>
  <c r="I359" i="3"/>
  <c r="J358" i="3" a="1"/>
  <c r="J358" i="3" s="1"/>
  <c r="I358" i="3"/>
  <c r="J357" i="3" a="1"/>
  <c r="J357" i="3" s="1"/>
  <c r="I357" i="3"/>
  <c r="J356" i="3" a="1"/>
  <c r="J356" i="3" s="1"/>
  <c r="I356" i="3"/>
  <c r="J355" i="3" a="1"/>
  <c r="J355" i="3" s="1"/>
  <c r="I355" i="3"/>
  <c r="J354" i="3" a="1"/>
  <c r="J354" i="3" s="1"/>
  <c r="I354" i="3"/>
  <c r="J353" i="3" a="1"/>
  <c r="J353" i="3" s="1"/>
  <c r="I353" i="3"/>
  <c r="J352" i="3" a="1"/>
  <c r="J352" i="3" s="1"/>
  <c r="I352" i="3"/>
  <c r="J351" i="3" a="1"/>
  <c r="J351" i="3" s="1"/>
  <c r="I351" i="3"/>
  <c r="J350" i="3" a="1"/>
  <c r="J350" i="3" s="1"/>
  <c r="I350" i="3"/>
  <c r="J349" i="3" a="1"/>
  <c r="J349" i="3" s="1"/>
  <c r="I349" i="3"/>
  <c r="J348" i="3" a="1"/>
  <c r="J348" i="3" s="1"/>
  <c r="I348" i="3"/>
  <c r="J347" i="3" a="1"/>
  <c r="J347" i="3" s="1"/>
  <c r="I347" i="3"/>
  <c r="J346" i="3" a="1"/>
  <c r="J346" i="3" s="1"/>
  <c r="I346" i="3"/>
  <c r="J345" i="3" a="1"/>
  <c r="J345" i="3" s="1"/>
  <c r="I345" i="3"/>
  <c r="J344" i="3" a="1"/>
  <c r="J344" i="3" s="1"/>
  <c r="I344" i="3"/>
  <c r="J343" i="3" a="1"/>
  <c r="J343" i="3" s="1"/>
  <c r="I343" i="3"/>
  <c r="J342" i="3" a="1"/>
  <c r="J342" i="3" s="1"/>
  <c r="I342" i="3"/>
  <c r="J341" i="3" a="1"/>
  <c r="J341" i="3" s="1"/>
  <c r="I341" i="3"/>
  <c r="J340" i="3" a="1"/>
  <c r="J340" i="3" s="1"/>
  <c r="I340" i="3"/>
  <c r="J339" i="3" a="1"/>
  <c r="J339" i="3" s="1"/>
  <c r="I339" i="3"/>
  <c r="J338" i="3" a="1"/>
  <c r="J338" i="3" s="1"/>
  <c r="I338" i="3"/>
  <c r="J337" i="3" a="1"/>
  <c r="J337" i="3" s="1"/>
  <c r="I337" i="3"/>
  <c r="J336" i="3" a="1"/>
  <c r="J336" i="3" s="1"/>
  <c r="I336" i="3"/>
  <c r="J335" i="3" a="1"/>
  <c r="J335" i="3" s="1"/>
  <c r="I335" i="3"/>
  <c r="J334" i="3" a="1"/>
  <c r="J334" i="3" s="1"/>
  <c r="I334" i="3"/>
  <c r="J333" i="3" a="1"/>
  <c r="J333" i="3" s="1"/>
  <c r="I333" i="3"/>
  <c r="J332" i="3" a="1"/>
  <c r="J332" i="3" s="1"/>
  <c r="I332" i="3"/>
  <c r="J331" i="3" a="1"/>
  <c r="J331" i="3" s="1"/>
  <c r="I331" i="3"/>
  <c r="J330" i="3" a="1"/>
  <c r="J330" i="3" s="1"/>
  <c r="I330" i="3"/>
  <c r="J329" i="3" a="1"/>
  <c r="J329" i="3" s="1"/>
  <c r="I329" i="3"/>
  <c r="J328" i="3" a="1"/>
  <c r="J328" i="3" s="1"/>
  <c r="I328" i="3"/>
  <c r="J327" i="3" a="1"/>
  <c r="J327" i="3" s="1"/>
  <c r="I327" i="3"/>
  <c r="J326" i="3" a="1"/>
  <c r="J326" i="3" s="1"/>
  <c r="I326" i="3"/>
  <c r="J325" i="3" a="1"/>
  <c r="J325" i="3" s="1"/>
  <c r="I325" i="3"/>
  <c r="J324" i="3" a="1"/>
  <c r="J324" i="3" s="1"/>
  <c r="I324" i="3"/>
  <c r="J323" i="3" a="1"/>
  <c r="J323" i="3" s="1"/>
  <c r="I323" i="3"/>
  <c r="J322" i="3" a="1"/>
  <c r="J322" i="3" s="1"/>
  <c r="I322" i="3"/>
  <c r="J321" i="3" a="1"/>
  <c r="J321" i="3" s="1"/>
  <c r="I321" i="3"/>
  <c r="J320" i="3" a="1"/>
  <c r="J320" i="3" s="1"/>
  <c r="I320" i="3"/>
  <c r="J319" i="3" a="1"/>
  <c r="J319" i="3" s="1"/>
  <c r="I319" i="3"/>
  <c r="J318" i="3" a="1"/>
  <c r="J318" i="3" s="1"/>
  <c r="I318" i="3"/>
  <c r="J317" i="3" a="1"/>
  <c r="J317" i="3" s="1"/>
  <c r="I317" i="3"/>
  <c r="J316" i="3" a="1"/>
  <c r="J316" i="3" s="1"/>
  <c r="I316" i="3"/>
  <c r="J315" i="3" a="1"/>
  <c r="J315" i="3" s="1"/>
  <c r="I315" i="3"/>
  <c r="J314" i="3" a="1"/>
  <c r="J314" i="3" s="1"/>
  <c r="I314" i="3"/>
  <c r="J313" i="3" a="1"/>
  <c r="J313" i="3" s="1"/>
  <c r="I313" i="3"/>
  <c r="J312" i="3" a="1"/>
  <c r="J312" i="3" s="1"/>
  <c r="I312" i="3"/>
  <c r="J311" i="3" a="1"/>
  <c r="J311" i="3" s="1"/>
  <c r="I311" i="3"/>
  <c r="J310" i="3" a="1"/>
  <c r="J310" i="3" s="1"/>
  <c r="I310" i="3"/>
  <c r="J309" i="3" a="1"/>
  <c r="J309" i="3" s="1"/>
  <c r="I309" i="3"/>
  <c r="J308" i="3" a="1"/>
  <c r="J308" i="3" s="1"/>
  <c r="I308" i="3"/>
  <c r="J307" i="3" a="1"/>
  <c r="J307" i="3" s="1"/>
  <c r="I307" i="3"/>
  <c r="J306" i="3" a="1"/>
  <c r="J306" i="3" s="1"/>
  <c r="I306" i="3"/>
  <c r="J305" i="3" a="1"/>
  <c r="J305" i="3" s="1"/>
  <c r="I305" i="3"/>
  <c r="J304" i="3" a="1"/>
  <c r="J304" i="3" s="1"/>
  <c r="I304" i="3"/>
  <c r="J303" i="3" a="1"/>
  <c r="J303" i="3" s="1"/>
  <c r="I303" i="3"/>
  <c r="J302" i="3" a="1"/>
  <c r="J302" i="3" s="1"/>
  <c r="I302" i="3"/>
  <c r="J301" i="3" a="1"/>
  <c r="J301" i="3" s="1"/>
  <c r="I301" i="3"/>
  <c r="J3" i="3" a="1"/>
  <c r="J3" i="3" s="1"/>
  <c r="J300" i="3" a="1"/>
  <c r="J300" i="3" s="1"/>
  <c r="J299" i="3" a="1"/>
  <c r="J299" i="3" s="1"/>
  <c r="J298" i="3" a="1"/>
  <c r="J298" i="3" s="1"/>
  <c r="J297" i="3" a="1"/>
  <c r="J297" i="3" s="1"/>
  <c r="J296" i="3" a="1"/>
  <c r="J296" i="3" s="1"/>
  <c r="J295" i="3" a="1"/>
  <c r="J295" i="3" s="1"/>
  <c r="J294" i="3" a="1"/>
  <c r="J294" i="3" s="1"/>
  <c r="J293" i="3" a="1"/>
  <c r="J293" i="3" s="1"/>
  <c r="J292" i="3" a="1"/>
  <c r="J292" i="3" s="1"/>
  <c r="J291" i="3" a="1"/>
  <c r="J291" i="3" s="1"/>
  <c r="J290" i="3" a="1"/>
  <c r="J290" i="3" s="1"/>
  <c r="J289" i="3" a="1"/>
  <c r="J289" i="3" s="1"/>
  <c r="J288" i="3" a="1"/>
  <c r="J288" i="3" s="1"/>
  <c r="J287" i="3" a="1"/>
  <c r="J287" i="3" s="1"/>
  <c r="J286" i="3" a="1"/>
  <c r="J286" i="3" s="1"/>
  <c r="J285" i="3" a="1"/>
  <c r="J285" i="3" s="1"/>
  <c r="J284" i="3" a="1"/>
  <c r="J284" i="3" s="1"/>
  <c r="J283" i="3" a="1"/>
  <c r="J283" i="3" s="1"/>
  <c r="J282" i="3" a="1"/>
  <c r="J282" i="3" s="1"/>
  <c r="J281" i="3" a="1"/>
  <c r="J281" i="3" s="1"/>
  <c r="J280" i="3" a="1"/>
  <c r="J280" i="3" s="1"/>
  <c r="J279" i="3" a="1"/>
  <c r="J279" i="3" s="1"/>
  <c r="J278" i="3" a="1"/>
  <c r="J278" i="3" s="1"/>
  <c r="J277" i="3" a="1"/>
  <c r="J277" i="3" s="1"/>
  <c r="J276" i="3" a="1"/>
  <c r="J276" i="3" s="1"/>
  <c r="J275" i="3" a="1"/>
  <c r="J275" i="3" s="1"/>
  <c r="J274" i="3" a="1"/>
  <c r="J274" i="3" s="1"/>
  <c r="J273" i="3" a="1"/>
  <c r="J273" i="3" s="1"/>
  <c r="J272" i="3" a="1"/>
  <c r="J272" i="3" s="1"/>
  <c r="J271" i="3" a="1"/>
  <c r="J271" i="3" s="1"/>
  <c r="J270" i="3" a="1"/>
  <c r="J270" i="3" s="1"/>
  <c r="J269" i="3" a="1"/>
  <c r="J269" i="3" s="1"/>
  <c r="J268" i="3" a="1"/>
  <c r="J268" i="3" s="1"/>
  <c r="J267" i="3" a="1"/>
  <c r="J267" i="3" s="1"/>
  <c r="J266" i="3" a="1"/>
  <c r="J266" i="3" s="1"/>
  <c r="J265" i="3" a="1"/>
  <c r="J265" i="3" s="1"/>
  <c r="J264" i="3" a="1"/>
  <c r="J264" i="3" s="1"/>
  <c r="J263" i="3" a="1"/>
  <c r="J263" i="3" s="1"/>
  <c r="J262" i="3" a="1"/>
  <c r="J262" i="3" s="1"/>
  <c r="J261" i="3" a="1"/>
  <c r="J261" i="3" s="1"/>
  <c r="J260" i="3" a="1"/>
  <c r="J260" i="3" s="1"/>
  <c r="J259" i="3" a="1"/>
  <c r="J259" i="3" s="1"/>
  <c r="J258" i="3" a="1"/>
  <c r="J258" i="3" s="1"/>
  <c r="J257" i="3" a="1"/>
  <c r="J257" i="3" s="1"/>
  <c r="J256" i="3" a="1"/>
  <c r="J256" i="3" s="1"/>
  <c r="J255" i="3" a="1"/>
  <c r="J255" i="3" s="1"/>
  <c r="J254" i="3" a="1"/>
  <c r="J254" i="3" s="1"/>
  <c r="J253" i="3" a="1"/>
  <c r="J253" i="3" s="1"/>
  <c r="J252" i="3" a="1"/>
  <c r="J252" i="3" s="1"/>
  <c r="J251" i="3" a="1"/>
  <c r="J251" i="3" s="1"/>
  <c r="J250" i="3" a="1"/>
  <c r="J250" i="3" s="1"/>
  <c r="J249" i="3" a="1"/>
  <c r="J249" i="3" s="1"/>
  <c r="J248" i="3" a="1"/>
  <c r="J248" i="3" s="1"/>
  <c r="J247" i="3" a="1"/>
  <c r="J247" i="3" s="1"/>
  <c r="J246" i="3" a="1"/>
  <c r="J246" i="3" s="1"/>
  <c r="J245" i="3" a="1"/>
  <c r="J245" i="3" s="1"/>
  <c r="J244" i="3" a="1"/>
  <c r="J244" i="3" s="1"/>
  <c r="J243" i="3" a="1"/>
  <c r="J243" i="3" s="1"/>
  <c r="J242" i="3" a="1"/>
  <c r="J242" i="3" s="1"/>
  <c r="J241" i="3" a="1"/>
  <c r="J241" i="3" s="1"/>
  <c r="J240" i="3" a="1"/>
  <c r="J240" i="3" s="1"/>
  <c r="J239" i="3" a="1"/>
  <c r="J239" i="3" s="1"/>
  <c r="J238" i="3" a="1"/>
  <c r="J238" i="3" s="1"/>
  <c r="J237" i="3" a="1"/>
  <c r="J237" i="3" s="1"/>
  <c r="J236" i="3" a="1"/>
  <c r="J236" i="3" s="1"/>
  <c r="J235" i="3" a="1"/>
  <c r="J235" i="3" s="1"/>
  <c r="J234" i="3" a="1"/>
  <c r="J234" i="3" s="1"/>
  <c r="J233" i="3" a="1"/>
  <c r="J233" i="3" s="1"/>
  <c r="J232" i="3" a="1"/>
  <c r="J232" i="3" s="1"/>
  <c r="J231" i="3" a="1"/>
  <c r="J231" i="3" s="1"/>
  <c r="J230" i="3" a="1"/>
  <c r="J230" i="3" s="1"/>
  <c r="J229" i="3" a="1"/>
  <c r="J229" i="3" s="1"/>
  <c r="J228" i="3" a="1"/>
  <c r="J228" i="3" s="1"/>
  <c r="J227" i="3" a="1"/>
  <c r="J227" i="3" s="1"/>
  <c r="J226" i="3" a="1"/>
  <c r="J226" i="3" s="1"/>
  <c r="J225" i="3" a="1"/>
  <c r="J225" i="3" s="1"/>
  <c r="J224" i="3" a="1"/>
  <c r="J224" i="3" s="1"/>
  <c r="J223" i="3" a="1"/>
  <c r="J223" i="3" s="1"/>
  <c r="J222" i="3" a="1"/>
  <c r="J222" i="3" s="1"/>
  <c r="J221" i="3" a="1"/>
  <c r="J221" i="3" s="1"/>
  <c r="J220" i="3" a="1"/>
  <c r="J220" i="3" s="1"/>
  <c r="J219" i="3" a="1"/>
  <c r="J219" i="3" s="1"/>
  <c r="J218" i="3" a="1"/>
  <c r="J218" i="3" s="1"/>
  <c r="J217" i="3" a="1"/>
  <c r="J217" i="3" s="1"/>
  <c r="J216" i="3" a="1"/>
  <c r="J216" i="3" s="1"/>
  <c r="J215" i="3" a="1"/>
  <c r="J215" i="3" s="1"/>
  <c r="J214" i="3" a="1"/>
  <c r="J214" i="3" s="1"/>
  <c r="J213" i="3" a="1"/>
  <c r="J213" i="3" s="1"/>
  <c r="J212" i="3" a="1"/>
  <c r="J212" i="3" s="1"/>
  <c r="J211" i="3" a="1"/>
  <c r="J211" i="3" s="1"/>
  <c r="J210" i="3" a="1"/>
  <c r="J210" i="3" s="1"/>
  <c r="J209" i="3" a="1"/>
  <c r="J209" i="3" s="1"/>
  <c r="J208" i="3" a="1"/>
  <c r="J208" i="3" s="1"/>
  <c r="J207" i="3" a="1"/>
  <c r="J207" i="3" s="1"/>
  <c r="J206" i="3" a="1"/>
  <c r="J206" i="3" s="1"/>
  <c r="J205" i="3" a="1"/>
  <c r="J205" i="3" s="1"/>
  <c r="J204" i="3" a="1"/>
  <c r="J204" i="3" s="1"/>
  <c r="J203" i="3" a="1"/>
  <c r="J203" i="3" s="1"/>
  <c r="J202" i="3" a="1"/>
  <c r="J202" i="3" s="1"/>
  <c r="J201" i="3" a="1"/>
  <c r="J201" i="3" s="1"/>
  <c r="J200" i="3" a="1"/>
  <c r="J200" i="3" s="1"/>
  <c r="J199" i="3" a="1"/>
  <c r="J199" i="3" s="1"/>
  <c r="J198" i="3" a="1"/>
  <c r="J198" i="3" s="1"/>
  <c r="J197" i="3" a="1"/>
  <c r="J197" i="3" s="1"/>
  <c r="J196" i="3" a="1"/>
  <c r="J196" i="3" s="1"/>
  <c r="J195" i="3" a="1"/>
  <c r="J195" i="3" s="1"/>
  <c r="J194" i="3" a="1"/>
  <c r="J194" i="3" s="1"/>
  <c r="J193" i="3" a="1"/>
  <c r="J193" i="3" s="1"/>
  <c r="J192" i="3" a="1"/>
  <c r="J192" i="3" s="1"/>
  <c r="J191" i="3" a="1"/>
  <c r="J191" i="3" s="1"/>
  <c r="J190" i="3" a="1"/>
  <c r="J190" i="3" s="1"/>
  <c r="J189" i="3" a="1"/>
  <c r="J189" i="3" s="1"/>
  <c r="J188" i="3" a="1"/>
  <c r="J188" i="3" s="1"/>
  <c r="J187" i="3" a="1"/>
  <c r="J187" i="3" s="1"/>
  <c r="J186" i="3" a="1"/>
  <c r="J186" i="3" s="1"/>
  <c r="J185" i="3" a="1"/>
  <c r="J185" i="3" s="1"/>
  <c r="J184" i="3" a="1"/>
  <c r="J184" i="3" s="1"/>
  <c r="J183" i="3" a="1"/>
  <c r="J183" i="3" s="1"/>
  <c r="J182" i="3" a="1"/>
  <c r="J182" i="3" s="1"/>
  <c r="J181" i="3" a="1"/>
  <c r="J181" i="3" s="1"/>
  <c r="J180" i="3" a="1"/>
  <c r="J180" i="3" s="1"/>
  <c r="J179" i="3" a="1"/>
  <c r="J179" i="3" s="1"/>
  <c r="J178" i="3" a="1"/>
  <c r="J178" i="3" s="1"/>
  <c r="J177" i="3" a="1"/>
  <c r="J177" i="3" s="1"/>
  <c r="J176" i="3" a="1"/>
  <c r="J176" i="3" s="1"/>
  <c r="J175" i="3" a="1"/>
  <c r="J175" i="3" s="1"/>
  <c r="J174" i="3" a="1"/>
  <c r="J174" i="3" s="1"/>
  <c r="J173" i="3" a="1"/>
  <c r="J173" i="3" s="1"/>
  <c r="J172" i="3" a="1"/>
  <c r="J172" i="3" s="1"/>
  <c r="J171" i="3" a="1"/>
  <c r="J171" i="3" s="1"/>
  <c r="J170" i="3" a="1"/>
  <c r="J170" i="3" s="1"/>
  <c r="J169" i="3" a="1"/>
  <c r="J169" i="3" s="1"/>
  <c r="J168" i="3" a="1"/>
  <c r="J168" i="3" s="1"/>
  <c r="J167" i="3" a="1"/>
  <c r="J167" i="3" s="1"/>
  <c r="J166" i="3" a="1"/>
  <c r="J166" i="3" s="1"/>
  <c r="J165" i="3" a="1"/>
  <c r="J165" i="3" s="1"/>
  <c r="J164" i="3" a="1"/>
  <c r="J164" i="3" s="1"/>
  <c r="J163" i="3" a="1"/>
  <c r="J163" i="3" s="1"/>
  <c r="J162" i="3" a="1"/>
  <c r="J162" i="3" s="1"/>
  <c r="J161" i="3" a="1"/>
  <c r="J161" i="3" s="1"/>
  <c r="J160" i="3" a="1"/>
  <c r="J160" i="3" s="1"/>
  <c r="J159" i="3" a="1"/>
  <c r="J159" i="3" s="1"/>
  <c r="J158" i="3" a="1"/>
  <c r="J158" i="3" s="1"/>
  <c r="J157" i="3" a="1"/>
  <c r="J157" i="3" s="1"/>
  <c r="J156" i="3" a="1"/>
  <c r="J156" i="3" s="1"/>
  <c r="J155" i="3" a="1"/>
  <c r="J155" i="3" s="1"/>
  <c r="J154" i="3" a="1"/>
  <c r="J154" i="3" s="1"/>
  <c r="J153" i="3" a="1"/>
  <c r="J153" i="3" s="1"/>
  <c r="J152" i="3" a="1"/>
  <c r="J152" i="3" s="1"/>
  <c r="J151" i="3" a="1"/>
  <c r="J151" i="3" s="1"/>
  <c r="J150" i="3" a="1"/>
  <c r="J150" i="3" s="1"/>
  <c r="J149" i="3" a="1"/>
  <c r="J149" i="3" s="1"/>
  <c r="J148" i="3" a="1"/>
  <c r="J148" i="3" s="1"/>
  <c r="J147" i="3" a="1"/>
  <c r="J147" i="3" s="1"/>
  <c r="J146" i="3" a="1"/>
  <c r="J146" i="3" s="1"/>
  <c r="J145" i="3" a="1"/>
  <c r="J145" i="3" s="1"/>
  <c r="J144" i="3" a="1"/>
  <c r="J144" i="3" s="1"/>
  <c r="J143" i="3" a="1"/>
  <c r="J143" i="3" s="1"/>
  <c r="J142" i="3" a="1"/>
  <c r="J142" i="3" s="1"/>
  <c r="J141" i="3" a="1"/>
  <c r="J141" i="3" s="1"/>
  <c r="J140" i="3" a="1"/>
  <c r="J140" i="3" s="1"/>
  <c r="J139" i="3" a="1"/>
  <c r="J139" i="3" s="1"/>
  <c r="J138" i="3" a="1"/>
  <c r="J138" i="3" s="1"/>
  <c r="J137" i="3" a="1"/>
  <c r="J137" i="3" s="1"/>
  <c r="J136" i="3" a="1"/>
  <c r="J136" i="3" s="1"/>
  <c r="J135" i="3" a="1"/>
  <c r="J135" i="3" s="1"/>
  <c r="J134" i="3" a="1"/>
  <c r="J134" i="3" s="1"/>
  <c r="J133" i="3" a="1"/>
  <c r="J133" i="3" s="1"/>
  <c r="J132" i="3" a="1"/>
  <c r="J132" i="3" s="1"/>
  <c r="J131" i="3" a="1"/>
  <c r="J131" i="3" s="1"/>
  <c r="J130" i="3" a="1"/>
  <c r="J130" i="3" s="1"/>
  <c r="J129" i="3" a="1"/>
  <c r="J129" i="3" s="1"/>
  <c r="J128" i="3" a="1"/>
  <c r="J128" i="3" s="1"/>
  <c r="J127" i="3" a="1"/>
  <c r="J127" i="3" s="1"/>
  <c r="J126" i="3" a="1"/>
  <c r="J126" i="3" s="1"/>
  <c r="J125" i="3" a="1"/>
  <c r="J125" i="3" s="1"/>
  <c r="J124" i="3" a="1"/>
  <c r="J124" i="3" s="1"/>
  <c r="J123" i="3" a="1"/>
  <c r="J123" i="3" s="1"/>
  <c r="J122" i="3" a="1"/>
  <c r="J122" i="3" s="1"/>
  <c r="J121" i="3" a="1"/>
  <c r="J121" i="3" s="1"/>
  <c r="J120" i="3" a="1"/>
  <c r="J120" i="3" s="1"/>
  <c r="J119" i="3" a="1"/>
  <c r="J119" i="3" s="1"/>
  <c r="J118" i="3" a="1"/>
  <c r="J118" i="3" s="1"/>
  <c r="J117" i="3" a="1"/>
  <c r="J117" i="3" s="1"/>
  <c r="J116" i="3" a="1"/>
  <c r="J116" i="3" s="1"/>
  <c r="J115" i="3" a="1"/>
  <c r="J115" i="3" s="1"/>
  <c r="J114" i="3" a="1"/>
  <c r="J114" i="3" s="1"/>
  <c r="J113" i="3" a="1"/>
  <c r="J113" i="3" s="1"/>
  <c r="J112" i="3" a="1"/>
  <c r="J112" i="3" s="1"/>
  <c r="J111" i="3" a="1"/>
  <c r="J111" i="3" s="1"/>
  <c r="J110" i="3" a="1"/>
  <c r="J110" i="3" s="1"/>
  <c r="J109" i="3" a="1"/>
  <c r="J109" i="3" s="1"/>
  <c r="J108" i="3" a="1"/>
  <c r="J108" i="3" s="1"/>
  <c r="J107" i="3" a="1"/>
  <c r="J107" i="3" s="1"/>
  <c r="J106" i="3" a="1"/>
  <c r="J106" i="3" s="1"/>
  <c r="J105" i="3" a="1"/>
  <c r="J105" i="3" s="1"/>
  <c r="J104" i="3" a="1"/>
  <c r="J104" i="3" s="1"/>
  <c r="J103" i="3" a="1"/>
  <c r="J103" i="3" s="1"/>
  <c r="J102" i="3" a="1"/>
  <c r="J102" i="3" s="1"/>
  <c r="J101" i="3" a="1"/>
  <c r="J101" i="3" s="1"/>
  <c r="J100" i="3" a="1"/>
  <c r="J100" i="3" s="1"/>
  <c r="J99" i="3" a="1"/>
  <c r="J99" i="3" s="1"/>
  <c r="J98" i="3" a="1"/>
  <c r="J98" i="3" s="1"/>
  <c r="J97" i="3" a="1"/>
  <c r="J97" i="3" s="1"/>
  <c r="J96" i="3" a="1"/>
  <c r="J96" i="3" s="1"/>
  <c r="J95" i="3" a="1"/>
  <c r="J95" i="3" s="1"/>
  <c r="J94" i="3" a="1"/>
  <c r="J94" i="3" s="1"/>
  <c r="J93" i="3" a="1"/>
  <c r="J93" i="3" s="1"/>
  <c r="J92" i="3" a="1"/>
  <c r="J92" i="3" s="1"/>
  <c r="J91" i="3" a="1"/>
  <c r="J91" i="3" s="1"/>
  <c r="J90" i="3" a="1"/>
  <c r="J90" i="3" s="1"/>
  <c r="J89" i="3" a="1"/>
  <c r="J89" i="3" s="1"/>
  <c r="J88" i="3" a="1"/>
  <c r="J88" i="3" s="1"/>
  <c r="J87" i="3" a="1"/>
  <c r="J87" i="3" s="1"/>
  <c r="J86" i="3" a="1"/>
  <c r="J86" i="3" s="1"/>
  <c r="J85" i="3" a="1"/>
  <c r="J85" i="3" s="1"/>
  <c r="J84" i="3" a="1"/>
  <c r="J84" i="3" s="1"/>
  <c r="J83" i="3" a="1"/>
  <c r="J83" i="3" s="1"/>
  <c r="J82" i="3" a="1"/>
  <c r="J82" i="3" s="1"/>
  <c r="J81" i="3" a="1"/>
  <c r="J81" i="3" s="1"/>
  <c r="J80" i="3" a="1"/>
  <c r="J80" i="3" s="1"/>
  <c r="J79" i="3" a="1"/>
  <c r="J79" i="3" s="1"/>
  <c r="J78" i="3" a="1"/>
  <c r="J78" i="3" s="1"/>
  <c r="J77" i="3" a="1"/>
  <c r="J77" i="3" s="1"/>
  <c r="J76" i="3" a="1"/>
  <c r="J76" i="3" s="1"/>
  <c r="J75" i="3" a="1"/>
  <c r="J75" i="3" s="1"/>
  <c r="J74" i="3" a="1"/>
  <c r="J74" i="3" s="1"/>
  <c r="J73" i="3" a="1"/>
  <c r="J73" i="3" s="1"/>
  <c r="J72" i="3" a="1"/>
  <c r="J72" i="3" s="1"/>
  <c r="J71" i="3" a="1"/>
  <c r="J71" i="3" s="1"/>
  <c r="J70" i="3" a="1"/>
  <c r="J70" i="3" s="1"/>
  <c r="J69" i="3" a="1"/>
  <c r="J69" i="3" s="1"/>
  <c r="J68" i="3" a="1"/>
  <c r="J68" i="3" s="1"/>
  <c r="J67" i="3" a="1"/>
  <c r="J67" i="3" s="1"/>
  <c r="J66" i="3" a="1"/>
  <c r="J66" i="3" s="1"/>
  <c r="J65" i="3" a="1"/>
  <c r="J65" i="3" s="1"/>
  <c r="J64" i="3" a="1"/>
  <c r="J64" i="3" s="1"/>
  <c r="J63" i="3" a="1"/>
  <c r="J63" i="3" s="1"/>
  <c r="J62" i="3" a="1"/>
  <c r="J62" i="3" s="1"/>
  <c r="J61" i="3" a="1"/>
  <c r="J61" i="3" s="1"/>
  <c r="J60" i="3" a="1"/>
  <c r="J60" i="3" s="1"/>
  <c r="J59" i="3" a="1"/>
  <c r="J59" i="3" s="1"/>
  <c r="J58" i="3" a="1"/>
  <c r="J58" i="3" s="1"/>
  <c r="J57" i="3" a="1"/>
  <c r="J57" i="3" s="1"/>
  <c r="J56" i="3" a="1"/>
  <c r="J56" i="3" s="1"/>
  <c r="J55" i="3" a="1"/>
  <c r="J55" i="3" s="1"/>
  <c r="J54" i="3" a="1"/>
  <c r="J54" i="3" s="1"/>
  <c r="J53" i="3" a="1"/>
  <c r="J53" i="3" s="1"/>
  <c r="J52" i="3" a="1"/>
  <c r="J52" i="3" s="1"/>
  <c r="J51" i="3" a="1"/>
  <c r="J51" i="3" s="1"/>
  <c r="J50" i="3" a="1"/>
  <c r="J50" i="3" s="1"/>
  <c r="J49" i="3" a="1"/>
  <c r="J49" i="3" s="1"/>
  <c r="J48" i="3" a="1"/>
  <c r="J48" i="3" s="1"/>
  <c r="J47" i="3" a="1"/>
  <c r="J47" i="3" s="1"/>
  <c r="J46" i="3" a="1"/>
  <c r="J46" i="3" s="1"/>
  <c r="J45" i="3" a="1"/>
  <c r="J45" i="3" s="1"/>
  <c r="J44" i="3" a="1"/>
  <c r="J44" i="3" s="1"/>
  <c r="J43" i="3" a="1"/>
  <c r="J43" i="3" s="1"/>
  <c r="J42" i="3" a="1"/>
  <c r="J42" i="3" s="1"/>
  <c r="J41" i="3" a="1"/>
  <c r="J41" i="3" s="1"/>
  <c r="J40" i="3" a="1"/>
  <c r="J40" i="3" s="1"/>
  <c r="J39" i="3" a="1"/>
  <c r="J39" i="3" s="1"/>
  <c r="J38" i="3" a="1"/>
  <c r="J38" i="3" s="1"/>
  <c r="J37" i="3" a="1"/>
  <c r="J37" i="3" s="1"/>
  <c r="J36" i="3" a="1"/>
  <c r="J36" i="3" s="1"/>
  <c r="J35" i="3" a="1"/>
  <c r="J35" i="3" s="1"/>
  <c r="J34" i="3" a="1"/>
  <c r="J34" i="3" s="1"/>
  <c r="J33" i="3" a="1"/>
  <c r="J33" i="3" s="1"/>
  <c r="J32" i="3" a="1"/>
  <c r="J32" i="3" s="1"/>
  <c r="J31" i="3" a="1"/>
  <c r="J31" i="3" s="1"/>
  <c r="J30" i="3" a="1"/>
  <c r="J30" i="3" s="1"/>
  <c r="J29" i="3" a="1"/>
  <c r="J29" i="3" s="1"/>
  <c r="J28" i="3" a="1"/>
  <c r="J28" i="3" s="1"/>
  <c r="J27" i="3" a="1"/>
  <c r="J27" i="3" s="1"/>
  <c r="J26" i="3" a="1"/>
  <c r="J26" i="3" s="1"/>
  <c r="J25" i="3" a="1"/>
  <c r="J25" i="3" s="1"/>
  <c r="J24" i="3" a="1"/>
  <c r="J24" i="3" s="1"/>
  <c r="J23" i="3" a="1"/>
  <c r="J23" i="3" s="1"/>
  <c r="J22" i="3" a="1"/>
  <c r="J22" i="3" s="1"/>
  <c r="J21" i="3" a="1"/>
  <c r="J21" i="3" s="1"/>
  <c r="J17" i="3" a="1"/>
  <c r="J17" i="3" s="1"/>
  <c r="J16" i="3" a="1"/>
  <c r="J16" i="3" s="1"/>
  <c r="J15" i="3" a="1"/>
  <c r="J15" i="3" s="1"/>
  <c r="J14" i="3" a="1"/>
  <c r="J14" i="3" s="1"/>
  <c r="J13" i="3" a="1"/>
  <c r="J13" i="3" s="1"/>
  <c r="J12" i="3" a="1"/>
  <c r="J12" i="3" s="1"/>
  <c r="J11" i="3" a="1"/>
  <c r="J11" i="3" s="1"/>
  <c r="J10" i="3" a="1"/>
  <c r="J10" i="3" s="1"/>
  <c r="J9" i="3" a="1"/>
  <c r="J9" i="3" s="1"/>
  <c r="J8" i="3" a="1"/>
  <c r="J8" i="3" s="1"/>
  <c r="J7" i="3" a="1"/>
  <c r="J7" i="3" s="1"/>
  <c r="J6" i="3" a="1"/>
  <c r="J6" i="3" s="1"/>
  <c r="J5" i="3" a="1"/>
  <c r="J5" i="3" s="1"/>
  <c r="J4" i="3" a="1"/>
  <c r="J4" i="3" s="1"/>
  <c r="J2" i="3" a="1"/>
  <c r="J2" i="3" s="1"/>
  <c r="I2" i="3" l="1"/>
  <c r="I3" i="3"/>
  <c r="I4" i="3"/>
  <c r="I5" i="3"/>
  <c r="I6" i="3"/>
  <c r="I7" i="3"/>
  <c r="I8" i="3"/>
  <c r="I9" i="3"/>
  <c r="I10" i="3"/>
  <c r="I11" i="3"/>
  <c r="I12" i="3"/>
  <c r="I13" i="3"/>
  <c r="I300" i="3" l="1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8" i="3"/>
  <c r="I17" i="3"/>
  <c r="I16" i="3"/>
  <c r="I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김규형</author>
  </authors>
  <commentList>
    <comment ref="J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김규형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[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]
Ctrl + Shift + Enter
[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>] - 2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=INDEX(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>_new!$D:$D, MATCH(1, (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>_new!$A:$A=M</t>
        </r>
        <r>
          <rPr>
            <sz val="9"/>
            <color indexed="81"/>
            <rFont val="돋움"/>
            <family val="3"/>
            <charset val="129"/>
          </rPr>
          <t>포인트몰양식</t>
        </r>
        <r>
          <rPr>
            <sz val="9"/>
            <color indexed="81"/>
            <rFont val="Tahoma"/>
            <family val="2"/>
          </rPr>
          <t>!I2)*(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>_new!$B:$B=M</t>
        </r>
        <r>
          <rPr>
            <sz val="9"/>
            <color indexed="81"/>
            <rFont val="돋움"/>
            <family val="3"/>
            <charset val="129"/>
          </rPr>
          <t>포인트몰양식</t>
        </r>
        <r>
          <rPr>
            <sz val="9"/>
            <color indexed="81"/>
            <rFont val="Tahoma"/>
            <family val="2"/>
          </rPr>
          <t>!J2), 0))</t>
        </r>
      </text>
    </comment>
  </commentList>
</comments>
</file>

<file path=xl/sharedStrings.xml><?xml version="1.0" encoding="utf-8"?>
<sst xmlns="http://schemas.openxmlformats.org/spreadsheetml/2006/main" count="985" uniqueCount="442">
  <si>
    <t>No</t>
  </si>
  <si>
    <t>MALL</t>
  </si>
  <si>
    <t>카테고리명</t>
  </si>
  <si>
    <t>처리상황</t>
  </si>
  <si>
    <t>주문일자</t>
  </si>
  <si>
    <t>주문번호</t>
  </si>
  <si>
    <t>상품코드</t>
  </si>
  <si>
    <t>주문상품일련번호</t>
  </si>
  <si>
    <t>상품명</t>
    <phoneticPr fontId="2" type="noConversion"/>
  </si>
  <si>
    <t>상품옵션</t>
  </si>
  <si>
    <t>업체명</t>
  </si>
  <si>
    <t>주문수량</t>
  </si>
  <si>
    <t>공급가</t>
  </si>
  <si>
    <t>판매가</t>
  </si>
  <si>
    <t>주문자아이디</t>
  </si>
  <si>
    <t>주문자명</t>
  </si>
  <si>
    <t>주문자연락처</t>
  </si>
  <si>
    <t>수령인명</t>
  </si>
  <si>
    <t>우편번호</t>
  </si>
  <si>
    <t>주소</t>
  </si>
  <si>
    <t>상세주소</t>
  </si>
  <si>
    <t>수령인전화번호</t>
  </si>
  <si>
    <t>수령인핸드폰번호</t>
  </si>
  <si>
    <t>배송메세지</t>
  </si>
  <si>
    <t>업체상품코드</t>
  </si>
  <si>
    <t>결제구분</t>
  </si>
  <si>
    <t>배송유형</t>
  </si>
  <si>
    <t>희망일자</t>
  </si>
  <si>
    <t>아이디</t>
    <phoneticPr fontId="1" type="noConversion"/>
  </si>
  <si>
    <t>[리큐엠] 고속충전 20,000mAh 대용량 보조배터리</t>
  </si>
  <si>
    <t>화이트</t>
  </si>
  <si>
    <t>베이지</t>
  </si>
  <si>
    <t>[리큐엠] 고속충전 10,000mAh 미니 보조배터리</t>
  </si>
  <si>
    <t>[리큐엠] GAN 미니 2포트 멀티충전 어댑터</t>
  </si>
  <si>
    <t>[리큐엠] GAN 미니 3포트 멀티충전 어댑터</t>
  </si>
  <si>
    <t xml:space="preserve">[리큐엠] </t>
    <phoneticPr fontId="2" type="noConversion"/>
  </si>
  <si>
    <t>상품명</t>
  </si>
  <si>
    <t>색상,옵션</t>
    <phoneticPr fontId="2" type="noConversion"/>
  </si>
  <si>
    <t>[리큐엠] C TO C 고속충전 실리콘 케이블</t>
  </si>
  <si>
    <t>[리큐엠] 15W 고속 무선충전기</t>
  </si>
  <si>
    <t>[리큐엠] 해외용 35W 5포트 여행용 고속충전 멀티충전기 color2</t>
  </si>
  <si>
    <t xml:space="preserve"> </t>
    <phoneticPr fontId="1" type="noConversion"/>
  </si>
  <si>
    <t>[리큐엠] 맥세이프 삼각대 셀카봉 7단 1.3m 거치대 color2 (택1)</t>
  </si>
  <si>
    <t>블랙+링스티커</t>
  </si>
  <si>
    <t>핑크/ QP1000C 실리콘케이스 핸디형 핑크</t>
  </si>
  <si>
    <t>핑크/ QP1000C 실리콘케이스 핸디형 클라우드</t>
  </si>
  <si>
    <t>핑크/ QP1000C 실리콘케이스 핸디형 레드</t>
  </si>
  <si>
    <t>핑크/ QP1000C 실리콘케이스 핸디형 블루</t>
  </si>
  <si>
    <t>핑크/ QP1000C 실리콘케이스 핸디형 그린</t>
  </si>
  <si>
    <t>핑크/ QP1000C 실리콘케이스 핸디형 퍼플</t>
  </si>
  <si>
    <t>화이트 / 선택안함</t>
  </si>
  <si>
    <t>블루 / 라벤더</t>
  </si>
  <si>
    <t>블루 / 선택안함</t>
  </si>
  <si>
    <t>블랙 / 선택안함</t>
  </si>
  <si>
    <t>블랙 / 민트</t>
  </si>
  <si>
    <t>블랙 / 라벤더</t>
  </si>
  <si>
    <t>블루 / 민트</t>
  </si>
  <si>
    <t>블랙</t>
    <phoneticPr fontId="1" type="noConversion"/>
  </si>
  <si>
    <t>블랙 / 민트</t>
    <phoneticPr fontId="1" type="noConversion"/>
  </si>
  <si>
    <t>블랙 / QP2000C 실리콘케이스 핸디형 민트</t>
    <phoneticPr fontId="1" type="noConversion"/>
  </si>
  <si>
    <t>블랙 / 핑크</t>
  </si>
  <si>
    <t>블랙 / 핑크</t>
    <phoneticPr fontId="1" type="noConversion"/>
  </si>
  <si>
    <t>블랙 / 샌드</t>
    <phoneticPr fontId="1" type="noConversion"/>
  </si>
  <si>
    <t>블랙 / 라벤더</t>
    <phoneticPr fontId="1" type="noConversion"/>
  </si>
  <si>
    <t>블랙 / QP2000C 실리콘케이스 핸디형 핑크</t>
    <phoneticPr fontId="1" type="noConversion"/>
  </si>
  <si>
    <t>블랙 / QP2000C 실리콘케이스 핸디형 샌드</t>
    <phoneticPr fontId="1" type="noConversion"/>
  </si>
  <si>
    <t>블랙 / QP2000C 실리콘케이스 핸디형 라벤더</t>
    <phoneticPr fontId="1" type="noConversion"/>
  </si>
  <si>
    <t>QP2000C</t>
    <phoneticPr fontId="1" type="noConversion"/>
  </si>
  <si>
    <t>화이트 / 민트</t>
  </si>
  <si>
    <t>화이트 / 핑크</t>
  </si>
  <si>
    <t>화이트 / 샌드</t>
  </si>
  <si>
    <t>화이트 / 라벤더</t>
  </si>
  <si>
    <t>베이지 / 선택안함</t>
  </si>
  <si>
    <t>베이지 / 민트</t>
  </si>
  <si>
    <t>베이지 / 핑크</t>
  </si>
  <si>
    <t>베이지 / 샌드</t>
  </si>
  <si>
    <t>베이지 / 라벤더</t>
  </si>
  <si>
    <t>화이트 / QP2000C 실리콘케이스 핸디형 민트</t>
  </si>
  <si>
    <t>화이트 / QP2000C 실리콘케이스 핸디형 핑크</t>
  </si>
  <si>
    <t>화이트 / QP2000C 실리콘케이스 핸디형 샌드</t>
  </si>
  <si>
    <t>화이트 / QP2000C 실리콘케이스 핸디형 라벤더</t>
  </si>
  <si>
    <t>베이지 / QP2000C 실리콘케이스 핸디형 민트</t>
  </si>
  <si>
    <t>베이지 / QP2000C 실리콘케이스 핸디형 핑크</t>
  </si>
  <si>
    <t>베이지 / QP2000C 실리콘케이스 핸디형 샌드</t>
  </si>
  <si>
    <t>베이지 / QP2000C 실리콘케이스 핸디형 라벤더</t>
  </si>
  <si>
    <t>블랙 / 선택안함</t>
    <phoneticPr fontId="1" type="noConversion"/>
  </si>
  <si>
    <t>블랙 / 클라우드</t>
  </si>
  <si>
    <t>블랙 / 레드</t>
  </si>
  <si>
    <t>블랙 / 블루</t>
  </si>
  <si>
    <t>블랙 / 그린</t>
  </si>
  <si>
    <t>블랙 / 퍼플</t>
  </si>
  <si>
    <t>QP1000C</t>
    <phoneticPr fontId="1" type="noConversion"/>
  </si>
  <si>
    <t>화이트</t>
    <phoneticPr fontId="1" type="noConversion"/>
  </si>
  <si>
    <t>블루 / 핑크</t>
  </si>
  <si>
    <t>블루 / 클라우드</t>
  </si>
  <si>
    <t>블루 / 레드</t>
  </si>
  <si>
    <t>블루 / 블루</t>
  </si>
  <si>
    <t>블루 / 그린</t>
  </si>
  <si>
    <t>블루 / 퍼플</t>
  </si>
  <si>
    <t>블루 / QP1000C 실리콘케이스 핸디형 핑크</t>
  </si>
  <si>
    <t>블루 / QP1000C 실리콘케이스 핸디형 민트</t>
  </si>
  <si>
    <t>블루 / QP1000C 실리콘케이스 핸디형 라벤더</t>
  </si>
  <si>
    <t>블루 / QP1000C 실리콘케이스 핸디형 클라우드</t>
  </si>
  <si>
    <t>블루 / QP1000C 실리콘케이스 핸디형 레드</t>
  </si>
  <si>
    <t>블루 / QP1000C 실리콘케이스 핸디형 블루</t>
  </si>
  <si>
    <t>블루 / QP1000C 실리콘케이스 핸디형 그린</t>
  </si>
  <si>
    <t>블루 / QP1000C 실리콘케이스 핸디형 퍼플</t>
  </si>
  <si>
    <t>30CM 1+1 / 네온그린 / 버터</t>
  </si>
  <si>
    <t>60CM 1+1 / 코발트블루 / 라벤더</t>
  </si>
  <si>
    <t>02. 화이트</t>
  </si>
  <si>
    <t>60CM 1+1 / 라벤더 / 버터</t>
  </si>
  <si>
    <t>60CM 1+1 / 버터 / 버터</t>
  </si>
  <si>
    <t>맥세이프 셀카봉</t>
    <phoneticPr fontId="1" type="noConversion"/>
  </si>
  <si>
    <t>블랙 / 맥세이프 플레이트</t>
    <phoneticPr fontId="1" type="noConversion"/>
  </si>
  <si>
    <t>30CM 1+1 / 네온그린 / 캐롯</t>
    <phoneticPr fontId="1" type="noConversion"/>
  </si>
  <si>
    <t>30CM 1+1 / 네온그린 / 라벤더</t>
    <phoneticPr fontId="1" type="noConversion"/>
  </si>
  <si>
    <t>30CM 1+1 / 네온그린 / 코발트블루</t>
    <phoneticPr fontId="1" type="noConversion"/>
  </si>
  <si>
    <t>30CM 1+1 / 네온그린 / 네온그린</t>
    <phoneticPr fontId="1" type="noConversion"/>
  </si>
  <si>
    <t>30CM 1+1 / 캐롯 / 버터</t>
  </si>
  <si>
    <t>30CM 1+1 / 캐롯 / 캐롯</t>
  </si>
  <si>
    <t>30CM 1+1 / 캐롯 / 라벤더</t>
  </si>
  <si>
    <t>30CM 1+1 / 캐롯 / 코발트블루</t>
  </si>
  <si>
    <t>30CM 1+1 / 캐롯 / 네온그린</t>
    <phoneticPr fontId="1" type="noConversion"/>
  </si>
  <si>
    <t>30CM 1+1 / 버터 / 버터</t>
  </si>
  <si>
    <t>30CM 1+1 / 버터 / 캐롯</t>
  </si>
  <si>
    <t>30CM 1+1 / 버터 / 라벤더</t>
  </si>
  <si>
    <t>30CM 1+1 / 라벤더 / 버터</t>
  </si>
  <si>
    <t>30CM 1+1 / 라벤더 / 캐롯</t>
  </si>
  <si>
    <t>30CM 1+1 / 라벤더 / 라벤더</t>
  </si>
  <si>
    <t>30CM 1+1 / 라벤더 / 코발트블루</t>
  </si>
  <si>
    <t>30CM 1+1 / 라벤더 / 네온그린</t>
    <phoneticPr fontId="1" type="noConversion"/>
  </si>
  <si>
    <t>30CM 1+1 / 코발트블루 / 버터</t>
  </si>
  <si>
    <t>30CM 1+1 / 코발트블루 / 캐롯</t>
  </si>
  <si>
    <t>30CM 1+1 / 코발트블루 / 라벤더</t>
  </si>
  <si>
    <t>30CM 1+1 / 코발트블루 / 코발트블루</t>
  </si>
  <si>
    <t>30CM 1+1 / 코발트블루 / 네온그린</t>
    <phoneticPr fontId="1" type="noConversion"/>
  </si>
  <si>
    <t>60CM 1+1 / 코발트블루 / 버터</t>
  </si>
  <si>
    <t>60CM 1+1 / 코발트블루 / 캐롯</t>
  </si>
  <si>
    <t>60CM 1+1 / 코발트블루 / 코발트블루</t>
  </si>
  <si>
    <t>60CM 1+1 / 네온그린 / 버터</t>
  </si>
  <si>
    <t>60CM 1+1 / 네온그린 / 캐롯</t>
  </si>
  <si>
    <t>60CM 1+1 / 네온그린 / 라벤더</t>
  </si>
  <si>
    <t>60CM 1+1 / 네온그린 / 코발트블루</t>
  </si>
  <si>
    <t>60CM 1+1 / 네온그린 / 네온그린</t>
  </si>
  <si>
    <t>60CM 1+1 / 캐롯 / 버터</t>
  </si>
  <si>
    <t>60CM 1+1 / 캐롯 / 캐롯</t>
  </si>
  <si>
    <t>60CM 1+1 / 캐롯 / 라벤더</t>
  </si>
  <si>
    <t>60CM 1+1 / 캐롯 / 코발트블루</t>
  </si>
  <si>
    <t>60CM 1+1 / 캐롯 / 네온그린</t>
  </si>
  <si>
    <t>60CM 1+1 / 버터 / 캐롯</t>
  </si>
  <si>
    <t>60CM 1+1 / 버터 / 라벤더</t>
  </si>
  <si>
    <t>60CM 1+1 / 버터 / 코발트블루</t>
  </si>
  <si>
    <t>60CM 1+1 / 버터 / 네온그린</t>
  </si>
  <si>
    <t>60CM 1+1 / 라벤더 / 캐롯</t>
  </si>
  <si>
    <t>60CM 1+1 / 라벤더 / 라벤더</t>
  </si>
  <si>
    <t>60CM 1+1 / 라벤더 / 코발트블루</t>
  </si>
  <si>
    <t>60CM 1+1 / 라벤더 / 네온그린</t>
  </si>
  <si>
    <t>60CM 1+1 / 코발트블루 / 네온그린</t>
    <phoneticPr fontId="1" type="noConversion"/>
  </si>
  <si>
    <t>크레용 케이블</t>
    <phoneticPr fontId="1" type="noConversion"/>
  </si>
  <si>
    <t xml:space="preserve"> 60CM 네온그린 / 캐롯</t>
  </si>
  <si>
    <t xml:space="preserve"> 60CM 네온그린 / 라벤더</t>
  </si>
  <si>
    <t xml:space="preserve"> 60CM 네온그린 / 코발트블루</t>
  </si>
  <si>
    <t xml:space="preserve"> 60CM 네온그린 / 네온그린</t>
    <phoneticPr fontId="1" type="noConversion"/>
  </si>
  <si>
    <t xml:space="preserve"> 60CM 네온그린 / 버터</t>
    <phoneticPr fontId="1" type="noConversion"/>
  </si>
  <si>
    <t xml:space="preserve"> 60CM 코발트블루 / 버터</t>
    <phoneticPr fontId="1" type="noConversion"/>
  </si>
  <si>
    <t xml:space="preserve"> 60CM 코발트블루 / 캐롯</t>
    <phoneticPr fontId="1" type="noConversion"/>
  </si>
  <si>
    <t xml:space="preserve"> 60CM 코발트블루 / 라벤더</t>
    <phoneticPr fontId="1" type="noConversion"/>
  </si>
  <si>
    <t xml:space="preserve"> 60CM 코발트블루 / 코발트블루</t>
    <phoneticPr fontId="1" type="noConversion"/>
  </si>
  <si>
    <t xml:space="preserve"> 60CM 코발트블루 / 네온그린</t>
    <phoneticPr fontId="1" type="noConversion"/>
  </si>
  <si>
    <t xml:space="preserve"> 60CM 캐롯 / 버터</t>
  </si>
  <si>
    <t xml:space="preserve"> 60CM 캐롯 / 라벤더</t>
  </si>
  <si>
    <t xml:space="preserve"> 60CM 캐롯 / 코발트블루</t>
  </si>
  <si>
    <t xml:space="preserve"> 60CM 캐롯 / 네온그린</t>
  </si>
  <si>
    <t xml:space="preserve"> 60CM 캐롯 / 캐롯</t>
    <phoneticPr fontId="1" type="noConversion"/>
  </si>
  <si>
    <t xml:space="preserve"> 60CM 버터 / 캐롯</t>
  </si>
  <si>
    <t xml:space="preserve"> 60CM 버터 / 라벤더</t>
  </si>
  <si>
    <t xml:space="preserve"> 60CM 버터 / 코발트블루</t>
  </si>
  <si>
    <t xml:space="preserve"> 60CM 버터 / 네온그린</t>
  </si>
  <si>
    <t xml:space="preserve"> 60CM 버터 / 버터</t>
    <phoneticPr fontId="1" type="noConversion"/>
  </si>
  <si>
    <t xml:space="preserve"> 60CM 라벤더 / 버터</t>
  </si>
  <si>
    <t xml:space="preserve"> 60CM 라벤더 / 캐롯</t>
  </si>
  <si>
    <t xml:space="preserve"> 60CM 라벤더 / 코발트블루</t>
  </si>
  <si>
    <t xml:space="preserve"> 60CM 라벤더 / 네온그린</t>
  </si>
  <si>
    <t xml:space="preserve"> 60CM 라벤더 / 라벤더</t>
    <phoneticPr fontId="1" type="noConversion"/>
  </si>
  <si>
    <t xml:space="preserve"> 30CM 네온그린 / 버터</t>
  </si>
  <si>
    <t xml:space="preserve"> 30CM 네온그린 / 캐롯</t>
  </si>
  <si>
    <t xml:space="preserve"> 30CM 네온그린 / 라벤더</t>
  </si>
  <si>
    <t xml:space="preserve"> 30CM 네온그린 / 코발트블루</t>
  </si>
  <si>
    <t xml:space="preserve"> 30CM 네온그린 / 네온그린</t>
  </si>
  <si>
    <t xml:space="preserve"> 30CM 캐롯 / 캐롯</t>
  </si>
  <si>
    <t xml:space="preserve"> 30CM 캐롯 / 라벤더</t>
  </si>
  <si>
    <t xml:space="preserve"> 30CM 캐롯 / 코발트블루</t>
  </si>
  <si>
    <t xml:space="preserve"> 30CM 캐롯 / 네온그린</t>
  </si>
  <si>
    <t xml:space="preserve"> 30CM 라벤더 / 버터</t>
  </si>
  <si>
    <t xml:space="preserve"> 30CM 라벤더 / 캐롯</t>
  </si>
  <si>
    <t xml:space="preserve"> 30CM 라벤더 / 라벤더</t>
  </si>
  <si>
    <t xml:space="preserve"> 30CM 라벤더 / 코발트블루</t>
  </si>
  <si>
    <t xml:space="preserve"> 30CM 라벤더 / 네온그린</t>
  </si>
  <si>
    <t xml:space="preserve"> 30CM 코발트블루 / 버터</t>
  </si>
  <si>
    <t xml:space="preserve"> 30CM 코발트블루 / 캐롯</t>
  </si>
  <si>
    <t xml:space="preserve"> 30CM 코발트블루 / 라벤더</t>
  </si>
  <si>
    <t xml:space="preserve"> 30CM 코발트블루 / 코발트블루</t>
  </si>
  <si>
    <t xml:space="preserve"> 30CM 코발트블루 / 네온그린</t>
  </si>
  <si>
    <t>소프트화이트</t>
    <phoneticPr fontId="1" type="noConversion"/>
  </si>
  <si>
    <t>솔리드그레이</t>
    <phoneticPr fontId="1" type="noConversion"/>
  </si>
  <si>
    <t>QPD365N</t>
    <phoneticPr fontId="1" type="noConversion"/>
  </si>
  <si>
    <t xml:space="preserve"> 솔리드그레이</t>
    <phoneticPr fontId="1" type="noConversion"/>
  </si>
  <si>
    <t xml:space="preserve"> 소프트화이트</t>
    <phoneticPr fontId="1" type="noConversion"/>
  </si>
  <si>
    <t>블루</t>
    <phoneticPr fontId="1" type="noConversion"/>
  </si>
  <si>
    <t>핑크</t>
    <phoneticPr fontId="1" type="noConversion"/>
  </si>
  <si>
    <t>QPD330</t>
    <phoneticPr fontId="1" type="noConversion"/>
  </si>
  <si>
    <t>CC150K</t>
    <phoneticPr fontId="1" type="noConversion"/>
  </si>
  <si>
    <t>그레이</t>
    <phoneticPr fontId="1" type="noConversion"/>
  </si>
  <si>
    <t>Q1500</t>
    <phoneticPr fontId="1" type="noConversion"/>
  </si>
  <si>
    <t>01. 블랙</t>
    <phoneticPr fontId="1" type="noConversion"/>
  </si>
  <si>
    <t>여행용어댑터</t>
    <phoneticPr fontId="1" type="noConversion"/>
  </si>
  <si>
    <t>핑크 / 선택안함</t>
    <phoneticPr fontId="1" type="noConversion"/>
  </si>
  <si>
    <t>[리큐엠] 3in1 무선충전기 갤럭시워치전용</t>
  </si>
  <si>
    <t>[리큐엠] 여행용 캐리어저울 무게측정 전자저울 color2 (택1)</t>
  </si>
  <si>
    <t>블랙</t>
    <phoneticPr fontId="1" type="noConversion"/>
  </si>
  <si>
    <t>Q3100S</t>
    <phoneticPr fontId="1" type="noConversion"/>
  </si>
  <si>
    <t>화이트</t>
    <phoneticPr fontId="1" type="noConversion"/>
  </si>
  <si>
    <t>그레이</t>
    <phoneticPr fontId="1" type="noConversion"/>
  </si>
  <si>
    <t>핑크 / 라벤더</t>
    <phoneticPr fontId="1" type="noConversion"/>
  </si>
  <si>
    <t>화이트 / 선택안함</t>
    <phoneticPr fontId="1" type="noConversion"/>
  </si>
  <si>
    <t>화이트 / 핑크</t>
    <phoneticPr fontId="1" type="noConversion"/>
  </si>
  <si>
    <t>화이트 / 민트</t>
    <phoneticPr fontId="1" type="noConversion"/>
  </si>
  <si>
    <t>화이트 / 라벤더</t>
    <phoneticPr fontId="1" type="noConversion"/>
  </si>
  <si>
    <t>화이트 / 클라우드</t>
    <phoneticPr fontId="1" type="noConversion"/>
  </si>
  <si>
    <t>화이트 / 레드</t>
    <phoneticPr fontId="1" type="noConversion"/>
  </si>
  <si>
    <t>화이트 / 블루</t>
    <phoneticPr fontId="1" type="noConversion"/>
  </si>
  <si>
    <t>화이트 / 그린</t>
    <phoneticPr fontId="1" type="noConversion"/>
  </si>
  <si>
    <t>화이트 / 퍼플</t>
    <phoneticPr fontId="1" type="noConversion"/>
  </si>
  <si>
    <t>핑크 / 핑크</t>
    <phoneticPr fontId="1" type="noConversion"/>
  </si>
  <si>
    <t>핑크 / 민트</t>
    <phoneticPr fontId="1" type="noConversion"/>
  </si>
  <si>
    <t>핑크 / 클라우드</t>
    <phoneticPr fontId="1" type="noConversion"/>
  </si>
  <si>
    <t>핑크 / 레드</t>
    <phoneticPr fontId="1" type="noConversion"/>
  </si>
  <si>
    <t>핑크 / 블루</t>
    <phoneticPr fontId="1" type="noConversion"/>
  </si>
  <si>
    <t>핑크 / 그린</t>
    <phoneticPr fontId="1" type="noConversion"/>
  </si>
  <si>
    <t>핑크 / 퍼플</t>
    <phoneticPr fontId="1" type="noConversion"/>
  </si>
  <si>
    <t>여행용 캐리어저울</t>
    <phoneticPr fontId="1" type="noConversion"/>
  </si>
  <si>
    <t>블랙 / 샌드</t>
    <phoneticPr fontId="1" type="noConversion"/>
  </si>
  <si>
    <t>화이트 / 샌드</t>
    <phoneticPr fontId="1" type="noConversion"/>
  </si>
  <si>
    <t>핑크 / 샌드</t>
    <phoneticPr fontId="1" type="noConversion"/>
  </si>
  <si>
    <t>핑크/ QP1000C 실리콘케이스 핸디형 샌드</t>
    <phoneticPr fontId="1" type="noConversion"/>
  </si>
  <si>
    <t>블루 / QP1000C 실리콘케이스 핸디형 샌드</t>
    <phoneticPr fontId="1" type="noConversion"/>
  </si>
  <si>
    <t>[리큐엠] 라이트닝 C to 8핀 실리콘 케이블</t>
  </si>
  <si>
    <t/>
  </si>
  <si>
    <t>실리케이블</t>
    <phoneticPr fontId="1" type="noConversion"/>
  </si>
  <si>
    <t>[리큐엠] 올인원 15W 고속 무선충전 선물세트</t>
  </si>
  <si>
    <t>02. 핑크</t>
  </si>
  <si>
    <t>01. 블루</t>
  </si>
  <si>
    <t>SOMEONE</t>
    <phoneticPr fontId="1" type="noConversion"/>
  </si>
  <si>
    <t>핑크</t>
    <phoneticPr fontId="1" type="noConversion"/>
  </si>
  <si>
    <t>블루</t>
    <phoneticPr fontId="1" type="noConversion"/>
  </si>
  <si>
    <t>블루 / 샌드</t>
    <phoneticPr fontId="1" type="noConversion"/>
  </si>
  <si>
    <t>블랙  / QP1000C 실리콘케이스 핸디형 핑크</t>
    <phoneticPr fontId="1" type="noConversion"/>
  </si>
  <si>
    <t>블랙  / QP1000C 실리콘케이스 핸디형 민트</t>
    <phoneticPr fontId="1" type="noConversion"/>
  </si>
  <si>
    <t>블랙  / QP1000C 실리콘케이스 핸디형 라벤더</t>
    <phoneticPr fontId="1" type="noConversion"/>
  </si>
  <si>
    <t>블랙  / QP1000C 실리콘케이스 핸디형 클라우드</t>
    <phoneticPr fontId="1" type="noConversion"/>
  </si>
  <si>
    <t>블랙  / QP1000C 실리콘케이스 핸디형 레드</t>
    <phoneticPr fontId="1" type="noConversion"/>
  </si>
  <si>
    <t>블랙  / QP1000C 실리콘케이스 핸디형 블루</t>
    <phoneticPr fontId="1" type="noConversion"/>
  </si>
  <si>
    <t>블랙  / QP1000C 실리콘케이스 핸디형 그린</t>
    <phoneticPr fontId="1" type="noConversion"/>
  </si>
  <si>
    <t>블랙  / QP1000C 실리콘케이스 핸디형 퍼플</t>
    <phoneticPr fontId="1" type="noConversion"/>
  </si>
  <si>
    <t>블랙  / QP1000C 실리콘케이스 핸디형 샌드</t>
    <phoneticPr fontId="1" type="noConversion"/>
  </si>
  <si>
    <t>화이트 / QP1000C 실리콘케이스 핸디형 핑크</t>
    <phoneticPr fontId="1" type="noConversion"/>
  </si>
  <si>
    <t>화이트 / QP1000C 실리콘케이스 핸디형 민트</t>
    <phoneticPr fontId="1" type="noConversion"/>
  </si>
  <si>
    <t>화이트 / QP1000C 실리콘케이스 핸디형 라벤더</t>
    <phoneticPr fontId="1" type="noConversion"/>
  </si>
  <si>
    <t>화이트 / QP1000C 실리콘케이스 핸디형 클라우드</t>
    <phoneticPr fontId="1" type="noConversion"/>
  </si>
  <si>
    <t>화이트 / QP1000C 실리콘케이스 핸디형 레드</t>
    <phoneticPr fontId="1" type="noConversion"/>
  </si>
  <si>
    <t>화이트 / QP1000C 실리콘케이스 핸디형 블루</t>
    <phoneticPr fontId="1" type="noConversion"/>
  </si>
  <si>
    <t>화이트 / QP1000C 실리콘케이스 핸디형 그린</t>
    <phoneticPr fontId="1" type="noConversion"/>
  </si>
  <si>
    <t xml:space="preserve">화이트 / QP1000C 실리콘케이스 핸디형 퍼플 </t>
    <phoneticPr fontId="1" type="noConversion"/>
  </si>
  <si>
    <t>화이트 / QP1000C 실리콘케이스 핸디형 샌드</t>
    <phoneticPr fontId="1" type="noConversion"/>
  </si>
  <si>
    <t>[리큐엠] 휴대용  9000mAh 손난로 보조배터리</t>
  </si>
  <si>
    <t>올리브그린</t>
  </si>
  <si>
    <t>파스텔핑크</t>
    <phoneticPr fontId="1" type="noConversion"/>
  </si>
  <si>
    <t>핸디워머</t>
    <phoneticPr fontId="1" type="noConversion"/>
  </si>
  <si>
    <t>그린</t>
    <phoneticPr fontId="1" type="noConversion"/>
  </si>
  <si>
    <t>핑크</t>
    <phoneticPr fontId="1" type="noConversion"/>
  </si>
  <si>
    <t>QP2000C</t>
    <phoneticPr fontId="1" type="noConversion"/>
  </si>
  <si>
    <t>그린</t>
    <phoneticPr fontId="1" type="noConversion"/>
  </si>
  <si>
    <t>[리큐엠] 5000mAh 듀얼 부착 맥세이프 보조배터리</t>
  </si>
  <si>
    <t>[리큐엠] C TO C 고속충전 실리콘크레용케이블 2개 세트 (택1)</t>
  </si>
  <si>
    <t>[리큐엠] 맥세이프 실리콘 흡착 뽁뽁이 거치대 패드 colors5 (택1)</t>
  </si>
  <si>
    <t>소프트 크림</t>
  </si>
  <si>
    <t>[리큐엠] 5in1 무드등 접이식 시계 고속무선충전기 (택1)</t>
  </si>
  <si>
    <t>02. 갤럭시워치용</t>
  </si>
  <si>
    <t>01. 애플워치용</t>
  </si>
  <si>
    <t>QMP5</t>
    <phoneticPr fontId="1" type="noConversion"/>
  </si>
  <si>
    <t>L5100</t>
    <phoneticPr fontId="1" type="noConversion"/>
  </si>
  <si>
    <t>갤럭시 전용</t>
    <phoneticPr fontId="1" type="noConversion"/>
  </si>
  <si>
    <t>애플 전용</t>
    <phoneticPr fontId="1" type="noConversion"/>
  </si>
  <si>
    <t>버블패드</t>
    <phoneticPr fontId="1" type="noConversion"/>
  </si>
  <si>
    <t>그린 / 샌드</t>
  </si>
  <si>
    <t>[리큐엠] 맥세이프 3in1 고속 무선충전기(애플워치 보조배터리 포함)</t>
  </si>
  <si>
    <t>솔리드 그레이</t>
  </si>
  <si>
    <t>화이트</t>
    <phoneticPr fontId="1" type="noConversion"/>
  </si>
  <si>
    <t>8핀</t>
    <phoneticPr fontId="1" type="noConversion"/>
  </si>
  <si>
    <t>그린 / 핑크</t>
  </si>
  <si>
    <t>그린 / 라벤더</t>
  </si>
  <si>
    <t>그린 / QP2000C 실리콘케이스 핸디형 민트</t>
    <phoneticPr fontId="1" type="noConversion"/>
  </si>
  <si>
    <t>그린 / QP2000C 실리콘케이스 핸디형 핑크</t>
    <phoneticPr fontId="1" type="noConversion"/>
  </si>
  <si>
    <t>그린 / QP2000C 실리콘케이스 핸디형 샌드</t>
    <phoneticPr fontId="1" type="noConversion"/>
  </si>
  <si>
    <t>그린 / QP2000C 실리콘케이스 핸디형 라벤더</t>
    <phoneticPr fontId="1" type="noConversion"/>
  </si>
  <si>
    <t>QM4100</t>
    <phoneticPr fontId="1" type="noConversion"/>
  </si>
  <si>
    <t>소프트 블루</t>
  </si>
  <si>
    <t>소프트 블랙</t>
  </si>
  <si>
    <t>소프트 라벤더</t>
  </si>
  <si>
    <t>소프트 블랙</t>
    <phoneticPr fontId="1" type="noConversion"/>
  </si>
  <si>
    <t>소프트 라벤더</t>
    <phoneticPr fontId="1" type="noConversion"/>
  </si>
  <si>
    <t>NEW토마토레드 / 선택안함</t>
  </si>
  <si>
    <t>NEW세이지민트 / 선택안함</t>
  </si>
  <si>
    <t>NEW세이지민트 / 민트</t>
  </si>
  <si>
    <t>NEW토마토레드 / 샌드</t>
  </si>
  <si>
    <t>QP2000C</t>
    <phoneticPr fontId="1" type="noConversion"/>
  </si>
  <si>
    <t>토마토레드</t>
    <phoneticPr fontId="1" type="noConversion"/>
  </si>
  <si>
    <t>세이지민트</t>
    <phoneticPr fontId="1" type="noConversion"/>
  </si>
  <si>
    <t>NEW세이지민트 / 핑크</t>
    <phoneticPr fontId="1" type="noConversion"/>
  </si>
  <si>
    <t>NEW세이지민트 / 샌드</t>
    <phoneticPr fontId="1" type="noConversion"/>
  </si>
  <si>
    <t>NEW세이지민트 / 라벤더</t>
    <phoneticPr fontId="1" type="noConversion"/>
  </si>
  <si>
    <t>세이지민트 / QP2000C 실리콘케이스 핸디형 민트</t>
    <phoneticPr fontId="1" type="noConversion"/>
  </si>
  <si>
    <t>세이지민트 / QP2000C 실리콘케이스 핸디형 핑크</t>
    <phoneticPr fontId="1" type="noConversion"/>
  </si>
  <si>
    <t>세이지민트 / QP2000C 실리콘케이스 핸디형 샌드</t>
    <phoneticPr fontId="1" type="noConversion"/>
  </si>
  <si>
    <t>세이지민트 / QP2000C 실리콘케이스 핸디형 라벤더</t>
    <phoneticPr fontId="1" type="noConversion"/>
  </si>
  <si>
    <t>NEW토마토레드 / 민트</t>
  </si>
  <si>
    <t>NEW토마토레드 / 핑크</t>
  </si>
  <si>
    <t>NEW토마토레드 / 라벤더</t>
  </si>
  <si>
    <t>토마토레드 / QP2000C 실리콘케이스 핸디형 민트</t>
  </si>
  <si>
    <t>토마토레드 / QP2000C 실리콘케이스 핸디형 핑크</t>
  </si>
  <si>
    <t>토마토레드 / QP2000C 실리콘케이스 핸디형 샌드</t>
  </si>
  <si>
    <t>토마토레드 / QP2000C 실리콘케이스 핸디형 라벤더</t>
  </si>
  <si>
    <t>[리큐엠] 맥큐 2in1 Qi2 맥세이프 고속 무선충전 오브제 워치용</t>
  </si>
  <si>
    <t>ACONE</t>
    <phoneticPr fontId="1" type="noConversion"/>
  </si>
  <si>
    <t>소프트 화이트</t>
  </si>
  <si>
    <t>솔리드 그레이</t>
    <phoneticPr fontId="1" type="noConversion"/>
  </si>
  <si>
    <t>QM4100</t>
    <phoneticPr fontId="1" type="noConversion"/>
  </si>
  <si>
    <t>소프트화이트</t>
    <phoneticPr fontId="1" type="noConversion"/>
  </si>
  <si>
    <t>솔리드그레이</t>
    <phoneticPr fontId="1" type="noConversion"/>
  </si>
  <si>
    <t>[리큐엠] 고속충전 10,000mAh 미니 보조배터리</t>
    <phoneticPr fontId="1" type="noConversion"/>
  </si>
  <si>
    <t>원더랜드(갤럭시&amp;애플워치 공용)</t>
  </si>
  <si>
    <t>모닝브리즈(애플워치 전용)</t>
  </si>
  <si>
    <t>30CM 1+1 / 버터 / 네온그린</t>
  </si>
  <si>
    <t>소프트 민트</t>
  </si>
  <si>
    <t>선셋(애플워치 전용)</t>
  </si>
  <si>
    <t>소프트 민트</t>
    <phoneticPr fontId="1" type="noConversion"/>
  </si>
  <si>
    <t>30CM 1+1 / 버터 / 버터</t>
    <phoneticPr fontId="1" type="noConversion"/>
  </si>
  <si>
    <t>30CM 1+1 / 버터 / 캐롯</t>
    <phoneticPr fontId="1" type="noConversion"/>
  </si>
  <si>
    <t>30CM 1+1 / 버터 / 라벤더</t>
    <phoneticPr fontId="1" type="noConversion"/>
  </si>
  <si>
    <t>30CM 1+1 / 버터 / 코발트블루</t>
    <phoneticPr fontId="1" type="noConversion"/>
  </si>
  <si>
    <t>그린 / 민트</t>
    <phoneticPr fontId="1" type="noConversion"/>
  </si>
  <si>
    <t>[리큐엠] 고속충전 20,000mAh 대용량 보조배터리</t>
    <phoneticPr fontId="1" type="noConversion"/>
  </si>
  <si>
    <t xml:space="preserve"> 30CM 캐롯 / 버터</t>
    <phoneticPr fontId="1" type="noConversion"/>
  </si>
  <si>
    <t>핑크/ QP1000C 실리콘케이스 핸디형 민트</t>
    <phoneticPr fontId="1" type="noConversion"/>
  </si>
  <si>
    <t>핑크/ QP1000C 실리콘케이스 핸디형 라벤더</t>
    <phoneticPr fontId="1" type="noConversion"/>
  </si>
  <si>
    <t>모닝브리즈</t>
    <phoneticPr fontId="1" type="noConversion"/>
  </si>
  <si>
    <t>선셋</t>
    <phoneticPr fontId="1" type="noConversion"/>
  </si>
  <si>
    <t>원더랜드</t>
    <phoneticPr fontId="1" type="noConversion"/>
  </si>
  <si>
    <t>화이트 / 에보니</t>
  </si>
  <si>
    <t>핑크 / 에보니</t>
  </si>
  <si>
    <t>블랙 / 에보니</t>
  </si>
  <si>
    <t>블랙  / QP1000C 실리콘케이스 핸디형 에보니</t>
  </si>
  <si>
    <t>화이트 / QP1000C 실리콘케이스 핸디형 에보니</t>
  </si>
  <si>
    <t>핑크/ QP1000C 실리콘케이스 핸디형 에보니</t>
  </si>
  <si>
    <t>블루 / 에보니</t>
  </si>
  <si>
    <t>블루 / QP1000C 실리콘케이스 핸디형 에보니</t>
  </si>
  <si>
    <t>그린 / 선택안함</t>
    <phoneticPr fontId="1" type="noConversion"/>
  </si>
  <si>
    <t>[리큐엠] 고속충전 20,000mAh 대용량 보조배터리</t>
    <phoneticPr fontId="1" type="noConversion"/>
  </si>
  <si>
    <t>[리큐엠] 해외용 45W 5포트 여행용 고속충전 멀티충전기</t>
  </si>
  <si>
    <t>01. 블랙</t>
  </si>
  <si>
    <t>02. 화이트</t>
    <phoneticPr fontId="1" type="noConversion"/>
  </si>
  <si>
    <t>블랙</t>
    <phoneticPr fontId="1" type="noConversion"/>
  </si>
  <si>
    <t>여행용어댑터</t>
    <phoneticPr fontId="1" type="noConversion"/>
  </si>
  <si>
    <t>화이트</t>
    <phoneticPr fontId="1" type="noConversion"/>
  </si>
  <si>
    <t>[리큐엠] 맥큐 2in1 Qi2 맥세이프 고속 오브제 무선충전기 colors4 (택1)</t>
  </si>
  <si>
    <t>원더랜드 (갤럭시&amp;애플워치 공용)</t>
  </si>
  <si>
    <t>그레이</t>
  </si>
  <si>
    <t>모닝브리즈 (갤럭시&amp;애플워치 공용)</t>
  </si>
  <si>
    <t>핑크</t>
  </si>
  <si>
    <t>블루</t>
  </si>
  <si>
    <t>NEW버터 / 선택안함</t>
  </si>
  <si>
    <t>소프트오렌지</t>
  </si>
  <si>
    <t>NEW캐롯 / 에보니</t>
  </si>
  <si>
    <t>선셋 (애플워치 전용)</t>
  </si>
  <si>
    <t>솔리드그레이</t>
  </si>
  <si>
    <t>그린 / 선택안함</t>
  </si>
  <si>
    <t>[리큐엠] 맥세이프 3in1 휴대용 접이식 고속 무선충전기</t>
  </si>
  <si>
    <t>블랙</t>
  </si>
  <si>
    <t>소프트화이트</t>
  </si>
  <si>
    <t>블랙 / 샌드</t>
  </si>
  <si>
    <t>미드나잇섀도우</t>
    <phoneticPr fontId="1" type="noConversion"/>
  </si>
  <si>
    <t>모닝브리즈 (갤럭시&amp;애플워치 공용)</t>
    <phoneticPr fontId="1" type="noConversion"/>
  </si>
  <si>
    <t>미드나잇섀도우 (갤럭시&amp;애플워치 공용)</t>
    <phoneticPr fontId="1" type="noConversion"/>
  </si>
  <si>
    <t>원더랜드</t>
    <phoneticPr fontId="1" type="noConversion"/>
  </si>
  <si>
    <t>모닝브리즈</t>
    <phoneticPr fontId="1" type="noConversion"/>
  </si>
  <si>
    <t>선셋</t>
    <phoneticPr fontId="1" type="noConversion"/>
  </si>
  <si>
    <t>블랙</t>
    <phoneticPr fontId="1" type="noConversion"/>
  </si>
  <si>
    <t>화이트</t>
    <phoneticPr fontId="1" type="noConversion"/>
  </si>
  <si>
    <t>T3100</t>
    <phoneticPr fontId="1" type="noConversion"/>
  </si>
  <si>
    <t>NEW버터 / 선택안함</t>
    <phoneticPr fontId="1" type="noConversion"/>
  </si>
  <si>
    <t>NEW버터 / 핑크</t>
  </si>
  <si>
    <t>NEW버터 / 민트</t>
  </si>
  <si>
    <t>NEW버터 / 라벤더</t>
  </si>
  <si>
    <t>NEW버터 / 에보니</t>
  </si>
  <si>
    <t>NEW버터 / 클라우드</t>
  </si>
  <si>
    <t>NEW버터 / 레드</t>
  </si>
  <si>
    <t>NEW버터 / NEW버터</t>
  </si>
  <si>
    <t>NEW버터 / 그린</t>
  </si>
  <si>
    <t>NEW버터 / 퍼플</t>
  </si>
  <si>
    <t>NEW버터 / 샌드</t>
  </si>
  <si>
    <t>버터</t>
  </si>
  <si>
    <t>버터 / QP1000C 실리콘케이스 핸디형 핑크</t>
  </si>
  <si>
    <t>버터 / QP1000C 실리콘케이스 핸디형 민트</t>
  </si>
  <si>
    <t>버터 / QP1000C 실리콘케이스 핸디형 라벤더</t>
  </si>
  <si>
    <t>버터 / QP1000C 실리콘케이스 핸디형 에보니</t>
  </si>
  <si>
    <t>버터 / QP1000C 실리콘케이스 핸디형 클라우드</t>
  </si>
  <si>
    <t>버터 / QP1000C 실리콘케이스 핸디형 레드</t>
  </si>
  <si>
    <t>버터 / QP1000C 실리콘케이스 핸디형 버터</t>
  </si>
  <si>
    <t>버터 / QP1000C 실리콘케이스 핸디형 그린</t>
  </si>
  <si>
    <t>버터 / QP1000C 실리콘케이스 핸디형 퍼플</t>
  </si>
  <si>
    <t>버터 / QP1000C 실리콘케이스 핸디형 샌드</t>
  </si>
  <si>
    <t>NEW캐롯 / 선택안함</t>
  </si>
  <si>
    <t>NEW캐롯 / 핑크</t>
  </si>
  <si>
    <t>NEW캐롯 / 민트</t>
  </si>
  <si>
    <t>NEW캐롯 / 라벤더</t>
  </si>
  <si>
    <t>NEW캐롯 / 클라우드</t>
  </si>
  <si>
    <t>NEW캐롯 / 레드</t>
  </si>
  <si>
    <t>NEW캐롯 / NEW캐롯</t>
  </si>
  <si>
    <t>NEW캐롯 / 그린</t>
  </si>
  <si>
    <t>NEW캐롯 / 퍼플</t>
  </si>
  <si>
    <t>NEW캐롯 / 샌드</t>
  </si>
  <si>
    <t>캐롯</t>
  </si>
  <si>
    <t>캐롯 / QP1000C 실리콘케이스 핸디형 핑크</t>
  </si>
  <si>
    <t>캐롯 / QP1000C 실리콘케이스 핸디형 민트</t>
  </si>
  <si>
    <t>캐롯 / QP1000C 실리콘케이스 핸디형 라벤더</t>
  </si>
  <si>
    <t>캐롯 / QP1000C 실리콘케이스 핸디형 에보니</t>
  </si>
  <si>
    <t>캐롯 / QP1000C 실리콘케이스 핸디형 클라우드</t>
  </si>
  <si>
    <t>캐롯 / QP1000C 실리콘케이스 핸디형 레드</t>
  </si>
  <si>
    <t>캐롯 / QP1000C 실리콘케이스 핸디형 캐롯</t>
  </si>
  <si>
    <t>캐롯 / QP1000C 실리콘케이스 핸디형 그린</t>
  </si>
  <si>
    <t>캐롯 / QP1000C 실리콘케이스 핸디형 퍼플</t>
  </si>
  <si>
    <t>캐롯 / QP1000C 실리콘케이스 핸디형 샌드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</si>
</sst>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222222"/>
      <name val="맑은고딕"/>
      <family val="3"/>
      <charset val="129"/>
    </font>
    <font>
      <sz val="10"/>
      <name val="돋움"/>
      <family val="3"/>
      <charset val="129"/>
    </font>
    <font>
      <sz val="9"/>
      <color rgb="FF333333"/>
      <name val="Arial"/>
      <family val="2"/>
    </font>
    <font>
      <sz val="11"/>
      <color rgb="FF666666"/>
      <name val="Calibri"/>
      <family val="2"/>
    </font>
    <font>
      <sz val="11"/>
      <color rgb="FF666666"/>
      <name val="Calibri"/>
      <family val="3"/>
      <charset val="129"/>
    </font>
    <font>
      <sz val="10"/>
      <name val="맑은고딕"/>
      <family val="3"/>
      <charset val="129"/>
    </font>
    <font>
      <sz val="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B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/>
    <xf numFmtId="0" fontId="3" fillId="0" borderId="1" xfId="1" applyBorder="1" applyAlignment="1">
      <alignment horizontal="center" vertical="center"/>
    </xf>
    <xf numFmtId="0" fontId="3" fillId="0" borderId="0" xfId="1">
      <alignment vertical="center"/>
    </xf>
    <xf numFmtId="0" fontId="4" fillId="0" borderId="2" xfId="1" applyFont="1" applyBorder="1">
      <alignment vertical="center"/>
    </xf>
    <xf numFmtId="0" fontId="5" fillId="0" borderId="0" xfId="1" applyFont="1">
      <alignment vertical="center"/>
    </xf>
    <xf numFmtId="0" fontId="3" fillId="0" borderId="2" xfId="1" applyBorder="1">
      <alignment vertical="center"/>
    </xf>
    <xf numFmtId="0" fontId="7" fillId="0" borderId="3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0" xfId="0" applyFont="1" applyAlignment="1"/>
    <xf numFmtId="0" fontId="0" fillId="2" borderId="2" xfId="0" applyFill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0"/>
  <sheetViews>
    <sheetView topLeftCell="D1" workbookViewId="0">
      <selection activeCell="J20" sqref="J20"/>
    </sheetView>
  </sheetViews>
  <sheetFormatPr defaultRowHeight="16.5"/>
  <cols>
    <col min="1" max="1" width="4" bestFit="1" customWidth="1"/>
    <col min="2" max="2" width="6.25" bestFit="1" customWidth="1"/>
    <col min="3" max="3" width="15.875" bestFit="1" customWidth="1"/>
    <col min="4" max="4" width="11" bestFit="1" customWidth="1"/>
    <col min="5" max="5" width="19.25" bestFit="1" customWidth="1"/>
    <col min="6" max="6" width="18.625" bestFit="1" customWidth="1"/>
    <col min="8" max="8" width="17.25" bestFit="1" customWidth="1"/>
    <col min="9" max="9" width="72" bestFit="1" customWidth="1"/>
    <col min="10" max="10" width="21.875" bestFit="1" customWidth="1"/>
    <col min="11" max="11" width="22.875" bestFit="1" customWidth="1"/>
    <col min="13" max="14" width="7.125" bestFit="1" customWidth="1"/>
    <col min="15" max="15" width="13" bestFit="1" customWidth="1"/>
    <col min="17" max="17" width="14.375" bestFit="1" customWidth="1"/>
    <col min="20" max="20" width="69.5" bestFit="1" customWidth="1"/>
    <col min="21" max="21" width="31.75" bestFit="1" customWidth="1"/>
    <col min="22" max="22" width="15.125" bestFit="1" customWidth="1"/>
    <col min="23" max="23" width="17.25" bestFit="1" customWidth="1"/>
    <col min="24" max="24" width="21.125" bestFit="1" customWidth="1"/>
    <col min="25" max="25" width="13" bestFit="1" customWidth="1"/>
    <col min="26" max="26" width="11" bestFit="1" customWidth="1"/>
    <col min="29" max="29" width="7.5" bestFit="1" customWidth="1"/>
  </cols>
  <sheetData>
    <row r="1" spans="1:29" ht="17.2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1"/>
      <c r="B2" s="2"/>
      <c r="C2" s="2"/>
      <c r="D2" s="2"/>
      <c r="E2" s="2"/>
      <c r="F2" s="2"/>
      <c r="G2" s="2"/>
      <c r="H2" s="2"/>
      <c r="I2" s="2" t="s">
        <v>29</v>
      </c>
      <c r="J2" s="2" t="s">
        <v>55</v>
      </c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"/>
      <c r="B3" s="2"/>
      <c r="C3" s="2"/>
      <c r="D3" s="2"/>
      <c r="E3" s="2"/>
      <c r="F3" s="2"/>
      <c r="G3" s="2"/>
      <c r="H3" s="2"/>
      <c r="I3" s="2" t="s">
        <v>374</v>
      </c>
      <c r="J3" s="2" t="s">
        <v>375</v>
      </c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"/>
      <c r="B4" s="2"/>
      <c r="C4" s="2"/>
      <c r="D4" s="2"/>
      <c r="E4" s="2"/>
      <c r="F4" s="2"/>
      <c r="G4" s="2"/>
      <c r="H4" s="2"/>
      <c r="I4" s="2" t="s">
        <v>29</v>
      </c>
      <c r="J4" s="2" t="s">
        <v>53</v>
      </c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1"/>
      <c r="B5" s="2"/>
      <c r="C5" s="2"/>
      <c r="D5" s="2"/>
      <c r="E5" s="2"/>
      <c r="F5" s="2"/>
      <c r="G5" s="2"/>
      <c r="H5" s="2"/>
      <c r="I5" s="2" t="s">
        <v>39</v>
      </c>
      <c r="J5" s="2" t="s">
        <v>376</v>
      </c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1"/>
      <c r="B6" s="2"/>
      <c r="C6" s="2"/>
      <c r="D6" s="2"/>
      <c r="E6" s="2"/>
      <c r="F6" s="2"/>
      <c r="G6" s="2"/>
      <c r="H6" s="2"/>
      <c r="I6" s="2" t="s">
        <v>368</v>
      </c>
      <c r="J6" s="2" t="s">
        <v>109</v>
      </c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1"/>
      <c r="B7" s="2"/>
      <c r="C7" s="2"/>
      <c r="D7" s="2"/>
      <c r="E7" s="2"/>
      <c r="F7" s="2"/>
      <c r="G7" s="2"/>
      <c r="H7" s="2"/>
      <c r="I7" s="2" t="s">
        <v>218</v>
      </c>
      <c r="J7" s="2" t="s">
        <v>30</v>
      </c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1"/>
      <c r="B8" s="2"/>
      <c r="C8" s="2"/>
      <c r="D8" s="2"/>
      <c r="E8" s="2"/>
      <c r="F8" s="2"/>
      <c r="G8" s="2"/>
      <c r="H8" s="2"/>
      <c r="I8" s="2" t="s">
        <v>218</v>
      </c>
      <c r="J8" s="2" t="s">
        <v>30</v>
      </c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/>
      <c r="B9" s="2"/>
      <c r="C9" s="2"/>
      <c r="D9" s="2"/>
      <c r="E9" s="2"/>
      <c r="F9" s="2"/>
      <c r="G9" s="2"/>
      <c r="H9" s="2"/>
      <c r="I9" s="2" t="s">
        <v>374</v>
      </c>
      <c r="J9" s="2" t="s">
        <v>377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1"/>
      <c r="B10" s="2"/>
      <c r="C10" s="2"/>
      <c r="D10" s="2"/>
      <c r="E10" s="2"/>
      <c r="F10" s="2"/>
      <c r="G10" s="2"/>
      <c r="H10" s="2"/>
      <c r="I10" s="2" t="s">
        <v>374</v>
      </c>
      <c r="J10" s="2" t="s">
        <v>375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1"/>
      <c r="B11" s="2"/>
      <c r="C11" s="2"/>
      <c r="D11" s="2"/>
      <c r="E11" s="2"/>
      <c r="F11" s="2"/>
      <c r="G11" s="2"/>
      <c r="H11" s="2"/>
      <c r="I11" s="2" t="s">
        <v>218</v>
      </c>
      <c r="J11" s="2" t="s">
        <v>30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"/>
      <c r="B12" s="2"/>
      <c r="C12" s="2"/>
      <c r="D12" s="2"/>
      <c r="E12" s="2"/>
      <c r="F12" s="2"/>
      <c r="G12" s="2"/>
      <c r="H12" s="2"/>
      <c r="I12" s="2" t="s">
        <v>29</v>
      </c>
      <c r="J12" s="2" t="s">
        <v>313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1"/>
      <c r="B13" s="2"/>
      <c r="C13" s="2"/>
      <c r="D13" s="2"/>
      <c r="E13" s="2"/>
      <c r="F13" s="2"/>
      <c r="G13" s="2"/>
      <c r="H13" s="2"/>
      <c r="I13" s="2" t="s">
        <v>29</v>
      </c>
      <c r="J13" s="2" t="s">
        <v>311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1"/>
      <c r="B14" s="2"/>
      <c r="C14" s="2"/>
      <c r="D14" s="2"/>
      <c r="E14" s="2"/>
      <c r="F14" s="2"/>
      <c r="G14" s="2"/>
      <c r="H14" s="2"/>
      <c r="I14" s="2" t="s">
        <v>246</v>
      </c>
      <c r="J14" s="2" t="s">
        <v>247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1"/>
      <c r="B15" s="2"/>
      <c r="C15" s="2"/>
      <c r="D15" s="2"/>
      <c r="E15" s="2"/>
      <c r="F15" s="2"/>
      <c r="G15" s="2"/>
      <c r="H15" s="2"/>
      <c r="I15" s="2" t="s">
        <v>29</v>
      </c>
      <c r="J15" s="2" t="s">
        <v>72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1"/>
      <c r="B16" s="2"/>
      <c r="C16" s="2"/>
      <c r="D16" s="2"/>
      <c r="E16" s="2"/>
      <c r="F16" s="2"/>
      <c r="G16" s="2"/>
      <c r="H16" s="2"/>
      <c r="I16" s="2" t="s">
        <v>29</v>
      </c>
      <c r="J16" s="2" t="s">
        <v>312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1"/>
      <c r="B17" s="2"/>
      <c r="C17" s="2"/>
      <c r="D17" s="2"/>
      <c r="E17" s="2"/>
      <c r="F17" s="2"/>
      <c r="G17" s="2"/>
      <c r="H17" s="2"/>
      <c r="I17" s="2" t="s">
        <v>42</v>
      </c>
      <c r="J17" s="2" t="s">
        <v>43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1"/>
      <c r="B18" s="2"/>
      <c r="C18" s="2"/>
      <c r="D18" s="2"/>
      <c r="E18" s="2"/>
      <c r="F18" s="2"/>
      <c r="G18" s="2"/>
      <c r="H18" s="2"/>
      <c r="I18" s="2" t="s">
        <v>38</v>
      </c>
      <c r="J18" s="2" t="s">
        <v>378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1"/>
      <c r="B19" s="2"/>
      <c r="C19" s="2"/>
      <c r="D19" s="2"/>
      <c r="E19" s="2"/>
      <c r="F19" s="2"/>
      <c r="G19" s="2"/>
      <c r="H19" s="2"/>
      <c r="I19" s="2" t="s">
        <v>38</v>
      </c>
      <c r="J19" s="2" t="s">
        <v>379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1"/>
      <c r="B20" s="2"/>
      <c r="C20" s="2"/>
      <c r="D20" s="2"/>
      <c r="E20" s="2"/>
      <c r="F20" s="2"/>
      <c r="G20" s="2"/>
      <c r="H20" s="2"/>
      <c r="I20" s="2" t="s">
        <v>32</v>
      </c>
      <c r="J20" s="2" t="s">
        <v>380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1"/>
      <c r="B21" s="2"/>
      <c r="C21" s="2"/>
      <c r="D21" s="2"/>
      <c r="E21" s="2"/>
      <c r="F21" s="2"/>
      <c r="G21" s="2"/>
      <c r="H21" s="2"/>
      <c r="I21" s="2" t="s">
        <v>218</v>
      </c>
      <c r="J21" s="2" t="s">
        <v>30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1"/>
      <c r="B22" s="2"/>
      <c r="C22" s="2"/>
      <c r="D22" s="2"/>
      <c r="E22" s="2"/>
      <c r="F22" s="2"/>
      <c r="G22" s="2"/>
      <c r="H22" s="2"/>
      <c r="I22" s="2" t="s">
        <v>284</v>
      </c>
      <c r="J22" s="2" t="s">
        <v>381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1"/>
      <c r="B23" s="2"/>
      <c r="C23" s="2"/>
      <c r="D23" s="2"/>
      <c r="E23" s="2"/>
      <c r="F23" s="2"/>
      <c r="G23" s="2"/>
      <c r="H23" s="2"/>
      <c r="I23" s="2" t="s">
        <v>29</v>
      </c>
      <c r="J23" s="2" t="s">
        <v>72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1"/>
      <c r="B24" s="2"/>
      <c r="C24" s="2"/>
      <c r="D24" s="2"/>
      <c r="E24" s="2"/>
      <c r="F24" s="2"/>
      <c r="G24" s="2"/>
      <c r="H24" s="2"/>
      <c r="I24" s="2" t="s">
        <v>29</v>
      </c>
      <c r="J24" s="2" t="s">
        <v>72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I25" s="2" t="s">
        <v>368</v>
      </c>
      <c r="J25" s="2" t="s">
        <v>369</v>
      </c>
    </row>
    <row r="26" spans="1:29">
      <c r="I26" s="2" t="s">
        <v>218</v>
      </c>
      <c r="J26" s="2" t="s">
        <v>30</v>
      </c>
    </row>
    <row r="27" spans="1:29">
      <c r="I27" s="2" t="s">
        <v>42</v>
      </c>
      <c r="J27" s="2" t="s">
        <v>43</v>
      </c>
    </row>
    <row r="28" spans="1:29">
      <c r="I28" s="2" t="s">
        <v>29</v>
      </c>
      <c r="J28" s="2" t="s">
        <v>53</v>
      </c>
    </row>
    <row r="29" spans="1:29">
      <c r="I29" s="23" t="s">
        <v>29</v>
      </c>
      <c r="J29" s="23" t="s">
        <v>70</v>
      </c>
    </row>
    <row r="30" spans="1:29">
      <c r="I30" s="2" t="s">
        <v>32</v>
      </c>
      <c r="J30" s="2" t="s">
        <v>382</v>
      </c>
    </row>
    <row r="31" spans="1:29">
      <c r="I31" s="2" t="s">
        <v>38</v>
      </c>
      <c r="J31" s="2" t="s">
        <v>379</v>
      </c>
    </row>
    <row r="32" spans="1:29">
      <c r="I32" s="2" t="s">
        <v>38</v>
      </c>
      <c r="J32" s="2" t="s">
        <v>379</v>
      </c>
    </row>
    <row r="33" spans="9:10">
      <c r="I33" s="2" t="s">
        <v>33</v>
      </c>
      <c r="J33" s="2" t="s">
        <v>379</v>
      </c>
    </row>
    <row r="34" spans="9:10">
      <c r="I34" s="2" t="s">
        <v>33</v>
      </c>
      <c r="J34" s="2" t="s">
        <v>379</v>
      </c>
    </row>
    <row r="35" spans="9:10">
      <c r="I35" s="2" t="s">
        <v>32</v>
      </c>
      <c r="J35" s="2" t="s">
        <v>380</v>
      </c>
    </row>
    <row r="36" spans="9:10">
      <c r="I36" s="2" t="s">
        <v>42</v>
      </c>
      <c r="J36" s="2" t="s">
        <v>43</v>
      </c>
    </row>
    <row r="37" spans="9:10">
      <c r="I37" s="2" t="s">
        <v>42</v>
      </c>
      <c r="J37" s="2" t="s">
        <v>43</v>
      </c>
    </row>
    <row r="38" spans="9:10">
      <c r="I38" s="2" t="s">
        <v>368</v>
      </c>
      <c r="J38" s="2" t="s">
        <v>109</v>
      </c>
    </row>
    <row r="39" spans="9:10">
      <c r="I39" s="2" t="s">
        <v>29</v>
      </c>
      <c r="J39" s="2" t="s">
        <v>312</v>
      </c>
    </row>
    <row r="40" spans="9:10">
      <c r="I40" s="2" t="s">
        <v>29</v>
      </c>
      <c r="J40" s="2" t="s">
        <v>53</v>
      </c>
    </row>
    <row r="41" spans="9:10">
      <c r="I41" s="2" t="s">
        <v>218</v>
      </c>
      <c r="J41" s="2" t="s">
        <v>30</v>
      </c>
    </row>
    <row r="42" spans="9:10">
      <c r="I42" s="23" t="s">
        <v>29</v>
      </c>
      <c r="J42" s="23" t="s">
        <v>314</v>
      </c>
    </row>
    <row r="43" spans="9:10">
      <c r="I43" s="2" t="s">
        <v>374</v>
      </c>
      <c r="J43" s="2" t="s">
        <v>383</v>
      </c>
    </row>
    <row r="44" spans="9:10">
      <c r="I44" s="2" t="s">
        <v>29</v>
      </c>
      <c r="J44" s="2" t="s">
        <v>312</v>
      </c>
    </row>
    <row r="45" spans="9:10">
      <c r="I45" s="2" t="s">
        <v>34</v>
      </c>
      <c r="J45" s="2" t="s">
        <v>384</v>
      </c>
    </row>
    <row r="46" spans="9:10">
      <c r="I46" s="2" t="s">
        <v>38</v>
      </c>
      <c r="J46" s="2" t="s">
        <v>379</v>
      </c>
    </row>
    <row r="47" spans="9:10">
      <c r="I47" s="2" t="s">
        <v>29</v>
      </c>
      <c r="J47" s="2" t="s">
        <v>53</v>
      </c>
    </row>
    <row r="48" spans="9:10">
      <c r="I48" s="2" t="s">
        <v>282</v>
      </c>
      <c r="J48" s="2" t="s">
        <v>247</v>
      </c>
    </row>
    <row r="49" spans="9:10">
      <c r="I49" s="2" t="s">
        <v>39</v>
      </c>
      <c r="J49" s="2" t="s">
        <v>30</v>
      </c>
    </row>
    <row r="50" spans="9:10">
      <c r="I50" s="2" t="s">
        <v>29</v>
      </c>
      <c r="J50" s="2" t="s">
        <v>385</v>
      </c>
    </row>
    <row r="51" spans="9:10">
      <c r="I51" s="2" t="s">
        <v>368</v>
      </c>
      <c r="J51" s="2" t="s">
        <v>369</v>
      </c>
    </row>
    <row r="52" spans="9:10">
      <c r="I52" s="2" t="s">
        <v>42</v>
      </c>
      <c r="J52" s="2" t="s">
        <v>43</v>
      </c>
    </row>
    <row r="53" spans="9:10">
      <c r="I53" s="2" t="s">
        <v>386</v>
      </c>
      <c r="J53" s="2" t="s">
        <v>387</v>
      </c>
    </row>
    <row r="54" spans="9:10">
      <c r="I54" s="2" t="s">
        <v>29</v>
      </c>
      <c r="J54" s="2" t="s">
        <v>313</v>
      </c>
    </row>
    <row r="55" spans="9:10">
      <c r="I55" s="2" t="s">
        <v>29</v>
      </c>
      <c r="J55" s="2" t="s">
        <v>312</v>
      </c>
    </row>
    <row r="56" spans="9:10">
      <c r="I56" s="2" t="s">
        <v>282</v>
      </c>
      <c r="J56" s="2" t="s">
        <v>247</v>
      </c>
    </row>
    <row r="57" spans="9:10">
      <c r="I57" s="2" t="s">
        <v>282</v>
      </c>
      <c r="J57" s="2" t="s">
        <v>247</v>
      </c>
    </row>
    <row r="58" spans="9:10">
      <c r="I58" s="2" t="s">
        <v>38</v>
      </c>
      <c r="J58" s="2" t="s">
        <v>379</v>
      </c>
    </row>
    <row r="59" spans="9:10">
      <c r="I59" s="2" t="s">
        <v>368</v>
      </c>
      <c r="J59" s="2" t="s">
        <v>369</v>
      </c>
    </row>
    <row r="60" spans="9:10">
      <c r="I60" s="2" t="s">
        <v>368</v>
      </c>
      <c r="J60" s="2" t="s">
        <v>109</v>
      </c>
    </row>
    <row r="61" spans="9:10">
      <c r="I61" s="2" t="s">
        <v>282</v>
      </c>
      <c r="J61" s="2" t="s">
        <v>247</v>
      </c>
    </row>
    <row r="62" spans="9:10">
      <c r="I62" s="2" t="s">
        <v>217</v>
      </c>
      <c r="J62" s="2" t="s">
        <v>387</v>
      </c>
    </row>
    <row r="63" spans="9:10">
      <c r="I63" s="2" t="s">
        <v>29</v>
      </c>
      <c r="J63" s="2" t="s">
        <v>311</v>
      </c>
    </row>
    <row r="64" spans="9:10">
      <c r="I64" s="2" t="s">
        <v>29</v>
      </c>
      <c r="J64" s="2" t="s">
        <v>53</v>
      </c>
    </row>
    <row r="65" spans="9:10">
      <c r="I65" s="2" t="s">
        <v>38</v>
      </c>
      <c r="J65" s="2" t="s">
        <v>379</v>
      </c>
    </row>
    <row r="66" spans="9:10">
      <c r="I66" s="2" t="s">
        <v>33</v>
      </c>
      <c r="J66" s="2" t="s">
        <v>379</v>
      </c>
    </row>
    <row r="67" spans="9:10">
      <c r="I67" s="2" t="s">
        <v>374</v>
      </c>
      <c r="J67" s="2" t="s">
        <v>377</v>
      </c>
    </row>
    <row r="68" spans="9:10">
      <c r="I68" s="2" t="s">
        <v>374</v>
      </c>
      <c r="J68" s="2" t="s">
        <v>383</v>
      </c>
    </row>
    <row r="69" spans="9:10">
      <c r="I69" s="2" t="s">
        <v>39</v>
      </c>
      <c r="J69" s="2" t="s">
        <v>30</v>
      </c>
    </row>
    <row r="70" spans="9:10">
      <c r="I70" s="2" t="s">
        <v>29</v>
      </c>
      <c r="J70" s="2" t="s">
        <v>385</v>
      </c>
    </row>
    <row r="71" spans="9:10">
      <c r="I71" s="2" t="s">
        <v>29</v>
      </c>
      <c r="J71" s="2" t="s">
        <v>72</v>
      </c>
    </row>
    <row r="72" spans="9:10">
      <c r="I72" s="2" t="s">
        <v>29</v>
      </c>
      <c r="J72" s="2" t="s">
        <v>313</v>
      </c>
    </row>
    <row r="73" spans="9:10">
      <c r="I73" s="2" t="s">
        <v>29</v>
      </c>
      <c r="J73" s="2" t="s">
        <v>311</v>
      </c>
    </row>
    <row r="74" spans="9:10">
      <c r="I74" s="2" t="s">
        <v>29</v>
      </c>
      <c r="J74" s="2" t="s">
        <v>299</v>
      </c>
    </row>
    <row r="75" spans="9:10">
      <c r="I75" s="2" t="s">
        <v>217</v>
      </c>
      <c r="J75" s="2" t="s">
        <v>387</v>
      </c>
    </row>
    <row r="76" spans="9:10">
      <c r="I76" s="2" t="s">
        <v>42</v>
      </c>
      <c r="J76" s="2" t="s">
        <v>43</v>
      </c>
    </row>
    <row r="77" spans="9:10">
      <c r="I77" s="2" t="s">
        <v>38</v>
      </c>
      <c r="J77" s="2" t="s">
        <v>378</v>
      </c>
    </row>
    <row r="78" spans="9:10">
      <c r="I78" s="2" t="s">
        <v>33</v>
      </c>
      <c r="J78" s="2" t="s">
        <v>388</v>
      </c>
    </row>
    <row r="79" spans="9:10">
      <c r="I79" s="23" t="s">
        <v>29</v>
      </c>
      <c r="J79" s="23" t="s">
        <v>389</v>
      </c>
    </row>
    <row r="80" spans="9:10">
      <c r="I80" s="2" t="s">
        <v>368</v>
      </c>
      <c r="J80" s="2" t="s">
        <v>109</v>
      </c>
    </row>
    <row r="81" spans="9:10">
      <c r="I81" s="2"/>
      <c r="J81" s="2"/>
    </row>
    <row r="82" spans="9:10">
      <c r="I82" s="2"/>
      <c r="J82" s="2"/>
    </row>
    <row r="83" spans="9:10">
      <c r="I83" s="2"/>
      <c r="J83" s="2"/>
    </row>
    <row r="84" spans="9:10">
      <c r="I84" s="2"/>
      <c r="J84" s="2"/>
    </row>
    <row r="85" spans="9:10">
      <c r="I85" s="2"/>
      <c r="J85" s="2"/>
    </row>
    <row r="86" spans="9:10">
      <c r="I86" s="2"/>
      <c r="J86" s="2"/>
    </row>
    <row r="87" spans="9:10">
      <c r="I87" s="2"/>
      <c r="J87" s="2"/>
    </row>
    <row r="88" spans="9:10">
      <c r="I88" s="2"/>
      <c r="J88" s="2"/>
    </row>
    <row r="89" spans="9:10">
      <c r="I89" s="2"/>
      <c r="J89" s="2"/>
    </row>
    <row r="90" spans="9:10">
      <c r="I90" s="2"/>
      <c r="J90" s="2"/>
    </row>
    <row r="91" spans="9:10">
      <c r="I91" s="2"/>
      <c r="J91" s="2"/>
    </row>
    <row r="92" spans="9:10">
      <c r="I92" s="2"/>
      <c r="J92" s="2"/>
    </row>
    <row r="93" spans="9:10">
      <c r="I93" s="2"/>
      <c r="J93" s="2"/>
    </row>
    <row r="94" spans="9:10">
      <c r="I94" s="2"/>
      <c r="J94" s="2"/>
    </row>
    <row r="95" spans="9:10">
      <c r="I95" s="2"/>
      <c r="J95" s="2"/>
    </row>
    <row r="96" spans="9:10">
      <c r="I96" s="2"/>
      <c r="J96" s="2"/>
    </row>
    <row r="97" spans="9:10">
      <c r="I97" s="2"/>
      <c r="J97" s="2"/>
    </row>
    <row r="98" spans="9:10">
      <c r="I98" s="2"/>
      <c r="J98" s="2"/>
    </row>
    <row r="99" spans="9:10">
      <c r="I99" s="2"/>
      <c r="J99" s="2"/>
    </row>
    <row r="100" spans="9:10">
      <c r="I100" s="2"/>
      <c r="J100" s="2"/>
    </row>
    <row r="101" spans="9:10">
      <c r="I101" s="2"/>
      <c r="J101" s="2"/>
    </row>
    <row r="102" spans="9:10">
      <c r="I102" s="2"/>
      <c r="J102" s="2"/>
    </row>
    <row r="103" spans="9:10">
      <c r="I103" s="2"/>
      <c r="J103" s="2"/>
    </row>
    <row r="104" spans="9:10">
      <c r="I104" s="2"/>
      <c r="J104" s="2"/>
    </row>
    <row r="105" spans="9:10">
      <c r="I105" s="2"/>
      <c r="J105" s="2"/>
    </row>
    <row r="106" spans="9:10">
      <c r="I106" s="2"/>
      <c r="J106" s="2"/>
    </row>
    <row r="107" spans="9:10">
      <c r="I107" s="2"/>
      <c r="J107" s="2"/>
    </row>
    <row r="108" spans="9:10">
      <c r="I108" s="2"/>
      <c r="J108" s="2"/>
    </row>
    <row r="109" spans="9:10">
      <c r="I109" s="2"/>
      <c r="J109" s="2"/>
    </row>
    <row r="110" spans="9:10">
      <c r="I110" s="2"/>
      <c r="J110" s="2"/>
    </row>
    <row r="111" spans="9:10">
      <c r="I111" s="2"/>
      <c r="J111" s="2"/>
    </row>
    <row r="112" spans="9:10">
      <c r="I112" s="2"/>
      <c r="J112" s="2"/>
    </row>
    <row r="113" spans="9:10">
      <c r="I113" s="2"/>
      <c r="J113" s="2"/>
    </row>
    <row r="114" spans="9:10">
      <c r="I114" s="2"/>
      <c r="J114" s="2"/>
    </row>
    <row r="115" spans="9:10">
      <c r="I115" s="2"/>
      <c r="J115" s="2"/>
    </row>
    <row r="116" spans="9:10">
      <c r="I116" s="2"/>
      <c r="J116" s="2"/>
    </row>
    <row r="117" spans="9:10">
      <c r="I117" s="2"/>
      <c r="J117" s="2"/>
    </row>
    <row r="118" spans="9:10">
      <c r="I118" s="2"/>
      <c r="J118" s="2"/>
    </row>
    <row r="119" spans="9:10">
      <c r="I119" s="2"/>
      <c r="J119" s="2"/>
    </row>
    <row r="120" spans="9:10">
      <c r="I120" s="2"/>
      <c r="J12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9"/>
  <sheetViews>
    <sheetView topLeftCell="C1" zoomScaleNormal="100" workbookViewId="0">
      <selection activeCell="G20" sqref="G20"/>
    </sheetView>
  </sheetViews>
  <sheetFormatPr defaultRowHeight="16.5"/>
  <cols>
    <col min="1" max="1" width="4" bestFit="1" customWidth="1"/>
    <col min="2" max="2" width="6.25" bestFit="1" customWidth="1"/>
    <col min="3" max="3" width="15.875" bestFit="1" customWidth="1"/>
    <col min="4" max="4" width="11" bestFit="1" customWidth="1"/>
    <col min="5" max="5" width="19.25" bestFit="1" customWidth="1"/>
    <col min="6" max="6" width="18.625" bestFit="1" customWidth="1"/>
    <col min="8" max="8" width="17.25" bestFit="1" customWidth="1"/>
    <col min="9" max="9" width="15.5" style="3" customWidth="1"/>
    <col min="10" max="10" width="43.375" style="3" bestFit="1" customWidth="1"/>
    <col min="11" max="11" width="22.875" bestFit="1" customWidth="1"/>
    <col min="13" max="14" width="7.125" bestFit="1" customWidth="1"/>
    <col min="15" max="15" width="13" bestFit="1" customWidth="1"/>
    <col min="17" max="17" width="14.375" bestFit="1" customWidth="1"/>
    <col min="20" max="20" width="69.5" bestFit="1" customWidth="1"/>
    <col min="21" max="21" width="31.75" bestFit="1" customWidth="1"/>
    <col min="22" max="22" width="15.125" bestFit="1" customWidth="1"/>
    <col min="23" max="23" width="17.25" bestFit="1" customWidth="1"/>
    <col min="24" max="24" width="21.125" bestFit="1" customWidth="1"/>
    <col min="25" max="25" width="13" bestFit="1" customWidth="1"/>
    <col min="26" max="26" width="11" bestFit="1" customWidth="1"/>
    <col min="29" max="29" width="7.5" bestFit="1" customWidth="1"/>
  </cols>
  <sheetData>
    <row r="1" spans="1:29" ht="17.2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1"/>
      <c r="B2" s="2"/>
      <c r="C2" s="2"/>
      <c r="D2" s="2"/>
      <c r="E2" s="2"/>
      <c r="F2" s="2"/>
      <c r="G2" s="2"/>
      <c r="H2" s="2"/>
      <c r="I2" s="6" t="str">
        <f>VLOOKUP(M포인트몰양식!$I2,데이터_new!$A:$D,3,FALSE)</f>
        <v>QP2000C</v>
      </c>
      <c r="J2" s="6" t="str">
        <f t="array" ref="J2">INDEX(데이터_new!$D:$D, MATCH(1, (데이터_new!$A:$A=M포인트몰양식!I2)*(데이터_new!$B:$B=M포인트몰양식!J2), 0))</f>
        <v>블랙 / QP2000C 실리콘케이스 핸디형 라벤더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"/>
      <c r="B3" s="2"/>
      <c r="C3" s="2"/>
      <c r="D3" s="2"/>
      <c r="E3" s="2"/>
      <c r="F3" s="2"/>
      <c r="G3" s="2"/>
      <c r="H3" s="2"/>
      <c r="I3" s="6" t="str">
        <f>VLOOKUP(M포인트몰양식!$I3,데이터_new!$A:$D,3,FALSE)</f>
        <v>ACONE</v>
      </c>
      <c r="J3" s="6" t="str">
        <f t="array" ref="J3">INDEX(데이터_new!$D:$D, MATCH(1, (데이터_new!$A:$A=M포인트몰양식!I3)*(데이터_new!$B:$B=M포인트몰양식!J3), 0))</f>
        <v>원더랜드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"/>
      <c r="B4" s="2"/>
      <c r="C4" s="2"/>
      <c r="D4" s="2"/>
      <c r="E4" s="2"/>
      <c r="F4" s="2"/>
      <c r="G4" s="2"/>
      <c r="H4" s="2"/>
      <c r="I4" s="6" t="str">
        <f>VLOOKUP(M포인트몰양식!$I4,데이터_new!$A:$D,3,FALSE)</f>
        <v>QP2000C</v>
      </c>
      <c r="J4" s="6" t="str">
        <f t="array" ref="J4">INDEX(데이터_new!$D:$D, MATCH(1, (데이터_new!$A:$A=M포인트몰양식!I4)*(데이터_new!$B:$B=M포인트몰양식!J4), 0))</f>
        <v>블랙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1"/>
      <c r="B5" s="2"/>
      <c r="C5" s="2"/>
      <c r="D5" s="2"/>
      <c r="E5" s="2"/>
      <c r="F5" s="2"/>
      <c r="G5" s="2"/>
      <c r="H5" s="2"/>
      <c r="I5" s="6" t="str">
        <f>VLOOKUP(M포인트몰양식!$I5,데이터_new!$A:$D,3,FALSE)</f>
        <v>Q1500</v>
      </c>
      <c r="J5" s="6" t="str">
        <f t="array" ref="J5">INDEX(데이터_new!$D:$D, MATCH(1, (데이터_new!$A:$A=M포인트몰양식!I5)*(데이터_new!$B:$B=M포인트몰양식!J5), 0))</f>
        <v>그레이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1"/>
      <c r="B6" s="2"/>
      <c r="C6" s="2"/>
      <c r="D6" s="2"/>
      <c r="E6" s="2"/>
      <c r="F6" s="2"/>
      <c r="G6" s="2"/>
      <c r="H6" s="2"/>
      <c r="I6" s="6" t="str">
        <f>VLOOKUP(M포인트몰양식!$I6,데이터_new!$A:$D,3,FALSE)</f>
        <v>여행용어댑터</v>
      </c>
      <c r="J6" s="6" t="str">
        <f t="array" ref="J6">INDEX(데이터_new!$D:$D, MATCH(1, (데이터_new!$A:$A=M포인트몰양식!I6)*(데이터_new!$B:$B=M포인트몰양식!J6), 0))</f>
        <v>화이트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1"/>
      <c r="B7" s="2"/>
      <c r="C7" s="2"/>
      <c r="D7" s="2"/>
      <c r="E7" s="2"/>
      <c r="F7" s="2"/>
      <c r="G7" s="2"/>
      <c r="H7" s="2"/>
      <c r="I7" s="6" t="str">
        <f>VLOOKUP(M포인트몰양식!$I7,데이터_new!$A:$D,3,FALSE)</f>
        <v>여행용 캐리어저울</v>
      </c>
      <c r="J7" s="6" t="str">
        <f t="array" ref="J7">INDEX(데이터_new!$D:$D, MATCH(1, (데이터_new!$A:$A=M포인트몰양식!I7)*(데이터_new!$B:$B=M포인트몰양식!J7), 0))</f>
        <v>화이트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1"/>
      <c r="B8" s="2"/>
      <c r="C8" s="2"/>
      <c r="D8" s="2"/>
      <c r="E8" s="2"/>
      <c r="F8" s="2"/>
      <c r="G8" s="2"/>
      <c r="H8" s="2"/>
      <c r="I8" s="6" t="str">
        <f>VLOOKUP(M포인트몰양식!$I8,데이터_new!$A:$D,3,FALSE)</f>
        <v>여행용 캐리어저울</v>
      </c>
      <c r="J8" s="6" t="str">
        <f t="array" ref="J8">INDEX(데이터_new!$D:$D, MATCH(1, (데이터_new!$A:$A=M포인트몰양식!I8)*(데이터_new!$B:$B=M포인트몰양식!J8), 0))</f>
        <v>화이트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/>
      <c r="B9" s="2"/>
      <c r="C9" s="2"/>
      <c r="D9" s="2"/>
      <c r="E9" s="2"/>
      <c r="F9" s="2"/>
      <c r="G9" s="2"/>
      <c r="H9" s="2"/>
      <c r="I9" s="6" t="str">
        <f>VLOOKUP(M포인트몰양식!$I9,데이터_new!$A:$D,3,FALSE)</f>
        <v>ACONE</v>
      </c>
      <c r="J9" s="6" t="str">
        <f t="array" ref="J9">INDEX(데이터_new!$D:$D, MATCH(1, (데이터_new!$A:$A=M포인트몰양식!I9)*(데이터_new!$B:$B=M포인트몰양식!J9), 0))</f>
        <v>모닝브리즈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1"/>
      <c r="B10" s="2"/>
      <c r="C10" s="2"/>
      <c r="D10" s="2"/>
      <c r="E10" s="2"/>
      <c r="F10" s="2"/>
      <c r="G10" s="2"/>
      <c r="H10" s="2"/>
      <c r="I10" s="6" t="str">
        <f>VLOOKUP(M포인트몰양식!$I10,데이터_new!$A:$D,3,FALSE)</f>
        <v>ACONE</v>
      </c>
      <c r="J10" s="6" t="str">
        <f t="array" ref="J10">INDEX(데이터_new!$D:$D, MATCH(1, (데이터_new!$A:$A=M포인트몰양식!I10)*(데이터_new!$B:$B=M포인트몰양식!J10), 0))</f>
        <v>원더랜드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1"/>
      <c r="B11" s="2"/>
      <c r="C11" s="2"/>
      <c r="D11" s="2"/>
      <c r="E11" s="2"/>
      <c r="F11" s="2"/>
      <c r="G11" s="2"/>
      <c r="H11" s="2"/>
      <c r="I11" s="6" t="str">
        <f>VLOOKUP(M포인트몰양식!$I11,데이터_new!$A:$D,3,FALSE)</f>
        <v>여행용 캐리어저울</v>
      </c>
      <c r="J11" s="6" t="str">
        <f t="array" ref="J11">INDEX(데이터_new!$D:$D, MATCH(1, (데이터_new!$A:$A=M포인트몰양식!I11)*(데이터_new!$B:$B=M포인트몰양식!J11), 0))</f>
        <v>화이트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"/>
      <c r="B12" s="2"/>
      <c r="C12" s="2"/>
      <c r="D12" s="2"/>
      <c r="E12" s="2"/>
      <c r="F12" s="2"/>
      <c r="G12" s="2"/>
      <c r="H12" s="2"/>
      <c r="I12" s="6" t="str">
        <f>VLOOKUP(M포인트몰양식!$I12,데이터_new!$A:$D,3,FALSE)</f>
        <v>QP2000C</v>
      </c>
      <c r="J12" s="6" t="str">
        <f t="array" ref="J12">INDEX(데이터_new!$D:$D, MATCH(1, (데이터_new!$A:$A=M포인트몰양식!I12)*(데이터_new!$B:$B=M포인트몰양식!J12), 0))</f>
        <v>세이지민트 / QP2000C 실리콘케이스 핸디형 민트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1"/>
      <c r="B13" s="2"/>
      <c r="C13" s="2"/>
      <c r="D13" s="2"/>
      <c r="E13" s="2"/>
      <c r="F13" s="2"/>
      <c r="G13" s="2"/>
      <c r="H13" s="2"/>
      <c r="I13" s="6" t="str">
        <f>VLOOKUP(M포인트몰양식!$I13,데이터_new!$A:$D,3,FALSE)</f>
        <v>QP2000C</v>
      </c>
      <c r="J13" s="6" t="str">
        <f t="array" ref="J13">INDEX(데이터_new!$D:$D, MATCH(1, (데이터_new!$A:$A=M포인트몰양식!I13)*(데이터_new!$B:$B=M포인트몰양식!J13), 0))</f>
        <v>토마토레드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1"/>
      <c r="B14" s="2"/>
      <c r="C14" s="2"/>
      <c r="D14" s="2"/>
      <c r="E14" s="2"/>
      <c r="F14" s="2"/>
      <c r="G14" s="2"/>
      <c r="H14" s="2"/>
      <c r="I14" s="6" t="str">
        <f>VLOOKUP(M포인트몰양식!$I14,데이터_new!$A:$D,3,FALSE)</f>
        <v>실리케이블</v>
      </c>
      <c r="J14" s="6" t="str">
        <f t="array" ref="J14">INDEX(데이터_new!$D:$D, MATCH(1, (데이터_new!$A:$A=M포인트몰양식!I14)*(데이터_new!$B:$B=M포인트몰양식!J14), 0))</f>
        <v>8핀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1"/>
      <c r="B15" s="2"/>
      <c r="C15" s="2"/>
      <c r="D15" s="2"/>
      <c r="E15" s="2"/>
      <c r="F15" s="2"/>
      <c r="G15" s="2"/>
      <c r="H15" s="2"/>
      <c r="I15" s="6" t="str">
        <f>VLOOKUP(M포인트몰양식!$I15,데이터_new!$A:$D,3,FALSE)</f>
        <v>QP2000C</v>
      </c>
      <c r="J15" s="6" t="str">
        <f t="array" ref="J15">INDEX(데이터_new!$D:$D, MATCH(1, (데이터_new!$A:$A=M포인트몰양식!I15)*(데이터_new!$B:$B=M포인트몰양식!J15), 0))</f>
        <v>베이지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1"/>
      <c r="B16" s="2"/>
      <c r="C16" s="2"/>
      <c r="D16" s="2"/>
      <c r="E16" s="2"/>
      <c r="F16" s="2"/>
      <c r="G16" s="2"/>
      <c r="H16" s="2"/>
      <c r="I16" s="6" t="str">
        <f>VLOOKUP(M포인트몰양식!$I16,데이터_new!$A:$D,3,FALSE)</f>
        <v>QP2000C</v>
      </c>
      <c r="J16" s="6" t="str">
        <f t="array" ref="J16">INDEX(데이터_new!$D:$D, MATCH(1, (데이터_new!$A:$A=M포인트몰양식!I16)*(데이터_new!$B:$B=M포인트몰양식!J16), 0))</f>
        <v>세이지민트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1"/>
      <c r="B17" s="2"/>
      <c r="C17" s="2"/>
      <c r="D17" s="2"/>
      <c r="E17" s="2"/>
      <c r="F17" s="2"/>
      <c r="G17" s="2"/>
      <c r="H17" s="2"/>
      <c r="I17" s="6" t="str">
        <f>VLOOKUP(M포인트몰양식!$I17,데이터_new!$A:$D,3,FALSE)</f>
        <v>맥세이프 셀카봉</v>
      </c>
      <c r="J17" s="6" t="str">
        <f t="array" ref="J17">INDEX(데이터_new!$D:$D, MATCH(1, (데이터_new!$A:$A=M포인트몰양식!I17)*(데이터_new!$B:$B=M포인트몰양식!J17), 0))</f>
        <v>블랙 / 맥세이프 플레이트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1"/>
      <c r="B18" s="2"/>
      <c r="C18" s="2"/>
      <c r="D18" s="2"/>
      <c r="E18" s="2"/>
      <c r="F18" s="2"/>
      <c r="G18" s="2"/>
      <c r="H18" s="2"/>
      <c r="I18" s="6" t="str">
        <f>VLOOKUP(M포인트몰양식!$I18,데이터_new!$A:$D,3,FALSE)</f>
        <v>CC150K</v>
      </c>
      <c r="J18" s="6" t="str">
        <f t="array" ref="J18">INDEX(데이터_new!$D:$D, MATCH(1, (데이터_new!$A:$A=M포인트몰양식!I18)*(데이터_new!$B:$B=M포인트몰양식!J18), 0))</f>
        <v>핑크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1"/>
      <c r="B19" s="2"/>
      <c r="C19" s="2"/>
      <c r="D19" s="2"/>
      <c r="E19" s="2"/>
      <c r="F19" s="2"/>
      <c r="G19" s="2"/>
      <c r="H19" s="2"/>
      <c r="I19" s="6" t="str">
        <f>VLOOKUP(M포인트몰양식!$I19,데이터_new!$A:$D,3,FALSE)</f>
        <v>CC150K</v>
      </c>
      <c r="J19" s="6" t="str">
        <f t="array" ref="J19">INDEX(데이터_new!$D:$D, MATCH(1, (데이터_new!$A:$A=M포인트몰양식!I19)*(데이터_new!$B:$B=M포인트몰양식!J19), 0))</f>
        <v>블루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1"/>
      <c r="B20" s="2"/>
      <c r="C20" s="2"/>
      <c r="D20" s="2"/>
      <c r="E20" s="2"/>
      <c r="F20" s="2"/>
      <c r="G20" s="2"/>
      <c r="H20" s="2"/>
      <c r="I20" s="6" t="str">
        <f>VLOOKUP(M포인트몰양식!$I20,데이터_new!$A:$D,3,FALSE)</f>
        <v>QP1000C</v>
      </c>
      <c r="J20" s="6" t="str">
        <f t="array" ref="J20">INDEX(데이터_new!$D:$D, MATCH(1, (데이터_new!$A:$A=M포인트몰양식!I20)*(데이터_new!$B:$B=M포인트몰양식!J20), 0))</f>
        <v>버터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1"/>
      <c r="B21" s="2"/>
      <c r="C21" s="2"/>
      <c r="D21" s="2"/>
      <c r="E21" s="2"/>
      <c r="F21" s="2"/>
      <c r="G21" s="2"/>
      <c r="H21" s="2"/>
      <c r="I21" s="6" t="str">
        <f>VLOOKUP(M포인트몰양식!$I21,데이터_new!$A:$D,3,FALSE)</f>
        <v>여행용 캐리어저울</v>
      </c>
      <c r="J21" s="6" t="str">
        <f t="array" ref="J21">INDEX(데이터_new!$D:$D, MATCH(1, (데이터_new!$A:$A=M포인트몰양식!I21)*(데이터_new!$B:$B=M포인트몰양식!J21), 0))</f>
        <v>화이트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1"/>
      <c r="B22" s="2"/>
      <c r="C22" s="2"/>
      <c r="D22" s="2"/>
      <c r="E22" s="2"/>
      <c r="F22" s="2"/>
      <c r="G22" s="2"/>
      <c r="H22" s="2"/>
      <c r="I22" s="6" t="str">
        <f>VLOOKUP(M포인트몰양식!$I22,데이터_new!$A:$D,3,FALSE)</f>
        <v>버블패드</v>
      </c>
      <c r="J22" s="6" t="e">
        <f t="array" ref="J22">INDEX(데이터_new!$D:$D, MATCH(1, (데이터_new!$A:$A=M포인트몰양식!I22)*(데이터_new!$B:$B=M포인트몰양식!J22), 0))</f>
        <v>#N/A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1"/>
      <c r="B23" s="2"/>
      <c r="C23" s="2"/>
      <c r="D23" s="2"/>
      <c r="E23" s="2"/>
      <c r="F23" s="2"/>
      <c r="G23" s="2"/>
      <c r="H23" s="2"/>
      <c r="I23" s="6" t="str">
        <f>VLOOKUP(M포인트몰양식!$I23,데이터_new!$A:$D,3,FALSE)</f>
        <v>QP2000C</v>
      </c>
      <c r="J23" s="6" t="str">
        <f t="array" ref="J23">INDEX(데이터_new!$D:$D, MATCH(1, (데이터_new!$A:$A=M포인트몰양식!I23)*(데이터_new!$B:$B=M포인트몰양식!J23), 0))</f>
        <v>베이지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1"/>
      <c r="B24" s="2"/>
      <c r="C24" s="2"/>
      <c r="D24" s="2"/>
      <c r="E24" s="2"/>
      <c r="F24" s="2"/>
      <c r="G24" s="2"/>
      <c r="H24" s="2"/>
      <c r="I24" s="6" t="str">
        <f>VLOOKUP(M포인트몰양식!$I24,데이터_new!$A:$D,3,FALSE)</f>
        <v>QP2000C</v>
      </c>
      <c r="J24" s="6" t="str">
        <f t="array" ref="J24">INDEX(데이터_new!$D:$D, MATCH(1, (데이터_new!$A:$A=M포인트몰양식!I24)*(데이터_new!$B:$B=M포인트몰양식!J24), 0))</f>
        <v>베이지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I25" s="6" t="str">
        <f>VLOOKUP(M포인트몰양식!$I25,데이터_new!$A:$D,3,FALSE)</f>
        <v>여행용어댑터</v>
      </c>
      <c r="J25" s="6" t="str">
        <f t="array" ref="J25">INDEX(데이터_new!$D:$D, MATCH(1, (데이터_new!$A:$A=M포인트몰양식!I25)*(데이터_new!$B:$B=M포인트몰양식!J25), 0))</f>
        <v>블랙</v>
      </c>
    </row>
    <row r="26" spans="1:29">
      <c r="I26" s="6" t="str">
        <f>VLOOKUP(M포인트몰양식!$I26,데이터_new!$A:$D,3,FALSE)</f>
        <v>여행용 캐리어저울</v>
      </c>
      <c r="J26" s="6" t="str">
        <f t="array" ref="J26">INDEX(데이터_new!$D:$D, MATCH(1, (데이터_new!$A:$A=M포인트몰양식!I26)*(데이터_new!$B:$B=M포인트몰양식!J26), 0))</f>
        <v>화이트</v>
      </c>
    </row>
    <row r="27" spans="1:29">
      <c r="I27" s="6" t="str">
        <f>VLOOKUP(M포인트몰양식!$I27,데이터_new!$A:$D,3,FALSE)</f>
        <v>맥세이프 셀카봉</v>
      </c>
      <c r="J27" s="6" t="str">
        <f t="array" ref="J27">INDEX(데이터_new!$D:$D, MATCH(1, (데이터_new!$A:$A=M포인트몰양식!I27)*(데이터_new!$B:$B=M포인트몰양식!J27), 0))</f>
        <v>블랙 / 맥세이프 플레이트</v>
      </c>
    </row>
    <row r="28" spans="1:29">
      <c r="I28" s="6" t="str">
        <f>VLOOKUP(M포인트몰양식!$I28,데이터_new!$A:$D,3,FALSE)</f>
        <v>QP2000C</v>
      </c>
      <c r="J28" s="6" t="str">
        <f t="array" ref="J28">INDEX(데이터_new!$D:$D, MATCH(1, (데이터_new!$A:$A=M포인트몰양식!I28)*(데이터_new!$B:$B=M포인트몰양식!J28), 0))</f>
        <v>블랙</v>
      </c>
    </row>
    <row r="29" spans="1:29">
      <c r="I29" s="6" t="str">
        <f>VLOOKUP(M포인트몰양식!$I29,데이터_new!$A:$D,3,FALSE)</f>
        <v>QP2000C</v>
      </c>
      <c r="J29" s="6" t="str">
        <f t="array" ref="J29">INDEX(데이터_new!$D:$D, MATCH(1, (데이터_new!$A:$A=M포인트몰양식!I29)*(데이터_new!$B:$B=M포인트몰양식!J29), 0))</f>
        <v>화이트 / QP2000C 실리콘케이스 핸디형 샌드</v>
      </c>
    </row>
    <row r="30" spans="1:29">
      <c r="I30" s="6" t="str">
        <f>VLOOKUP(M포인트몰양식!$I30,데이터_new!$A:$D,3,FALSE)</f>
        <v>QP1000C</v>
      </c>
      <c r="J30" s="6" t="str">
        <f t="array" ref="J30">INDEX(데이터_new!$D:$D, MATCH(1, (데이터_new!$A:$A=M포인트몰양식!I30)*(데이터_new!$B:$B=M포인트몰양식!J30), 0))</f>
        <v>캐롯 / QP1000C 실리콘케이스 핸디형 에보니</v>
      </c>
    </row>
    <row r="31" spans="1:29">
      <c r="I31" s="6" t="str">
        <f>VLOOKUP(M포인트몰양식!$I31,데이터_new!$A:$D,3,FALSE)</f>
        <v>CC150K</v>
      </c>
      <c r="J31" s="6" t="str">
        <f t="array" ref="J31">INDEX(데이터_new!$D:$D, MATCH(1, (데이터_new!$A:$A=M포인트몰양식!I31)*(데이터_new!$B:$B=M포인트몰양식!J31), 0))</f>
        <v>블루</v>
      </c>
    </row>
    <row r="32" spans="1:29">
      <c r="I32" s="6" t="str">
        <f>VLOOKUP(M포인트몰양식!$I32,데이터_new!$A:$D,3,FALSE)</f>
        <v>CC150K</v>
      </c>
      <c r="J32" s="6" t="str">
        <f t="array" ref="J32">INDEX(데이터_new!$D:$D, MATCH(1, (데이터_new!$A:$A=M포인트몰양식!I32)*(데이터_new!$B:$B=M포인트몰양식!J32), 0))</f>
        <v>블루</v>
      </c>
    </row>
    <row r="33" spans="9:10">
      <c r="I33" s="6" t="str">
        <f>VLOOKUP(M포인트몰양식!$I33,데이터_new!$A:$D,3,FALSE)</f>
        <v>QPD330</v>
      </c>
      <c r="J33" s="6" t="str">
        <f t="array" ref="J33">INDEX(데이터_new!$D:$D, MATCH(1, (데이터_new!$A:$A=M포인트몰양식!I33)*(데이터_new!$B:$B=M포인트몰양식!J33), 0))</f>
        <v>블루</v>
      </c>
    </row>
    <row r="34" spans="9:10">
      <c r="I34" s="6" t="str">
        <f>VLOOKUP(M포인트몰양식!$I34,데이터_new!$A:$D,3,FALSE)</f>
        <v>QPD330</v>
      </c>
      <c r="J34" s="6" t="str">
        <f t="array" ref="J34">INDEX(데이터_new!$D:$D, MATCH(1, (데이터_new!$A:$A=M포인트몰양식!I34)*(데이터_new!$B:$B=M포인트몰양식!J34), 0))</f>
        <v>블루</v>
      </c>
    </row>
    <row r="35" spans="9:10">
      <c r="I35" s="6" t="str">
        <f>VLOOKUP(M포인트몰양식!$I35,데이터_new!$A:$D,3,FALSE)</f>
        <v>QP1000C</v>
      </c>
      <c r="J35" s="6" t="str">
        <f t="array" ref="J35">INDEX(데이터_new!$D:$D, MATCH(1, (데이터_new!$A:$A=M포인트몰양식!I35)*(데이터_new!$B:$B=M포인트몰양식!J35), 0))</f>
        <v>버터</v>
      </c>
    </row>
    <row r="36" spans="9:10">
      <c r="I36" s="6" t="str">
        <f>VLOOKUP(M포인트몰양식!$I36,데이터_new!$A:$D,3,FALSE)</f>
        <v>맥세이프 셀카봉</v>
      </c>
      <c r="J36" s="6" t="str">
        <f t="array" ref="J36">INDEX(데이터_new!$D:$D, MATCH(1, (데이터_new!$A:$A=M포인트몰양식!I36)*(데이터_new!$B:$B=M포인트몰양식!J36), 0))</f>
        <v>블랙 / 맥세이프 플레이트</v>
      </c>
    </row>
    <row r="37" spans="9:10">
      <c r="I37" s="6" t="str">
        <f>VLOOKUP(M포인트몰양식!$I37,데이터_new!$A:$D,3,FALSE)</f>
        <v>맥세이프 셀카봉</v>
      </c>
      <c r="J37" s="6" t="str">
        <f t="array" ref="J37">INDEX(데이터_new!$D:$D, MATCH(1, (데이터_new!$A:$A=M포인트몰양식!I37)*(데이터_new!$B:$B=M포인트몰양식!J37), 0))</f>
        <v>블랙 / 맥세이프 플레이트</v>
      </c>
    </row>
    <row r="38" spans="9:10">
      <c r="I38" s="6" t="str">
        <f>VLOOKUP(M포인트몰양식!$I38,데이터_new!$A:$D,3,FALSE)</f>
        <v>여행용어댑터</v>
      </c>
      <c r="J38" s="6" t="str">
        <f t="array" ref="J38">INDEX(데이터_new!$D:$D, MATCH(1, (데이터_new!$A:$A=M포인트몰양식!I38)*(데이터_new!$B:$B=M포인트몰양식!J38), 0))</f>
        <v>화이트</v>
      </c>
    </row>
    <row r="39" spans="9:10">
      <c r="I39" s="6" t="str">
        <f>VLOOKUP(M포인트몰양식!$I39,데이터_new!$A:$D,3,FALSE)</f>
        <v>QP2000C</v>
      </c>
      <c r="J39" s="6" t="str">
        <f t="array" ref="J39">INDEX(데이터_new!$D:$D, MATCH(1, (데이터_new!$A:$A=M포인트몰양식!I39)*(데이터_new!$B:$B=M포인트몰양식!J39), 0))</f>
        <v>세이지민트</v>
      </c>
    </row>
    <row r="40" spans="9:10">
      <c r="I40" s="6" t="str">
        <f>VLOOKUP(M포인트몰양식!$I40,데이터_new!$A:$D,3,FALSE)</f>
        <v>QP2000C</v>
      </c>
      <c r="J40" s="6" t="str">
        <f t="array" ref="J40">INDEX(데이터_new!$D:$D, MATCH(1, (데이터_new!$A:$A=M포인트몰양식!I40)*(데이터_new!$B:$B=M포인트몰양식!J40), 0))</f>
        <v>블랙</v>
      </c>
    </row>
    <row r="41" spans="9:10">
      <c r="I41" s="6" t="str">
        <f>VLOOKUP(M포인트몰양식!$I41,데이터_new!$A:$D,3,FALSE)</f>
        <v>여행용 캐리어저울</v>
      </c>
      <c r="J41" s="6" t="str">
        <f t="array" ref="J41">INDEX(데이터_new!$D:$D, MATCH(1, (데이터_new!$A:$A=M포인트몰양식!I41)*(데이터_new!$B:$B=M포인트몰양식!J41), 0))</f>
        <v>화이트</v>
      </c>
    </row>
    <row r="42" spans="9:10">
      <c r="I42" s="6" t="str">
        <f>VLOOKUP(M포인트몰양식!$I42,데이터_new!$A:$D,3,FALSE)</f>
        <v>QP2000C</v>
      </c>
      <c r="J42" s="6" t="str">
        <f t="array" ref="J42">INDEX(데이터_new!$D:$D, MATCH(1, (데이터_new!$A:$A=M포인트몰양식!I42)*(데이터_new!$B:$B=M포인트몰양식!J42), 0))</f>
        <v>토마토레드 / QP2000C 실리콘케이스 핸디형 샌드</v>
      </c>
    </row>
    <row r="43" spans="9:10">
      <c r="I43" s="6" t="str">
        <f>VLOOKUP(M포인트몰양식!$I43,데이터_new!$A:$D,3,FALSE)</f>
        <v>ACONE</v>
      </c>
      <c r="J43" s="6" t="str">
        <f t="array" ref="J43">INDEX(데이터_new!$D:$D, MATCH(1, (데이터_new!$A:$A=M포인트몰양식!I43)*(데이터_new!$B:$B=M포인트몰양식!J43), 0))</f>
        <v>선셋</v>
      </c>
    </row>
    <row r="44" spans="9:10">
      <c r="I44" s="6" t="str">
        <f>VLOOKUP(M포인트몰양식!$I44,데이터_new!$A:$D,3,FALSE)</f>
        <v>QP2000C</v>
      </c>
      <c r="J44" s="6" t="str">
        <f t="array" ref="J44">INDEX(데이터_new!$D:$D, MATCH(1, (데이터_new!$A:$A=M포인트몰양식!I44)*(데이터_new!$B:$B=M포인트몰양식!J44), 0))</f>
        <v>세이지민트</v>
      </c>
    </row>
    <row r="45" spans="9:10">
      <c r="I45" s="6" t="str">
        <f>VLOOKUP(M포인트몰양식!$I45,데이터_new!$A:$D,3,FALSE)</f>
        <v>QPD365N</v>
      </c>
      <c r="J45" s="6" t="str">
        <f t="array" ref="J45">INDEX(데이터_new!$D:$D, MATCH(1, (데이터_new!$A:$A=M포인트몰양식!I45)*(데이터_new!$B:$B=M포인트몰양식!J45), 0))</f>
        <v xml:space="preserve"> 솔리드그레이</v>
      </c>
    </row>
    <row r="46" spans="9:10">
      <c r="I46" s="6" t="str">
        <f>VLOOKUP(M포인트몰양식!$I46,데이터_new!$A:$D,3,FALSE)</f>
        <v>CC150K</v>
      </c>
      <c r="J46" s="6" t="str">
        <f t="array" ref="J46">INDEX(데이터_new!$D:$D, MATCH(1, (데이터_new!$A:$A=M포인트몰양식!I46)*(데이터_new!$B:$B=M포인트몰양식!J46), 0))</f>
        <v>블루</v>
      </c>
    </row>
    <row r="47" spans="9:10">
      <c r="I47" s="6" t="str">
        <f>VLOOKUP(M포인트몰양식!$I47,데이터_new!$A:$D,3,FALSE)</f>
        <v>QP2000C</v>
      </c>
      <c r="J47" s="6" t="str">
        <f t="array" ref="J47">INDEX(데이터_new!$D:$D, MATCH(1, (데이터_new!$A:$A=M포인트몰양식!I47)*(데이터_new!$B:$B=M포인트몰양식!J47), 0))</f>
        <v>블랙</v>
      </c>
    </row>
    <row r="48" spans="9:10">
      <c r="I48" s="6" t="str">
        <f>VLOOKUP(M포인트몰양식!$I48,데이터_new!$A:$D,3,FALSE)</f>
        <v>QMP5</v>
      </c>
      <c r="J48" s="6" t="str">
        <f t="array" ref="J48">INDEX(데이터_new!$D:$D, MATCH(1, (데이터_new!$A:$A=M포인트몰양식!I48)*(데이터_new!$B:$B=M포인트몰양식!J48), 0))</f>
        <v>화이트</v>
      </c>
    </row>
    <row r="49" spans="9:10">
      <c r="I49" s="6" t="str">
        <f>VLOOKUP(M포인트몰양식!$I49,데이터_new!$A:$D,3,FALSE)</f>
        <v>Q1500</v>
      </c>
      <c r="J49" s="6" t="str">
        <f t="array" ref="J49">INDEX(데이터_new!$D:$D, MATCH(1, (데이터_new!$A:$A=M포인트몰양식!I49)*(데이터_new!$B:$B=M포인트몰양식!J49), 0))</f>
        <v>화이트</v>
      </c>
    </row>
    <row r="50" spans="9:10">
      <c r="I50" s="6" t="str">
        <f>VLOOKUP(M포인트몰양식!$I50,데이터_new!$A:$D,3,FALSE)</f>
        <v>QP2000C</v>
      </c>
      <c r="J50" s="6" t="str">
        <f t="array" ref="J50">INDEX(데이터_new!$D:$D, MATCH(1, (데이터_new!$A:$A=M포인트몰양식!I50)*(데이터_new!$B:$B=M포인트몰양식!J50), 0))</f>
        <v>그린</v>
      </c>
    </row>
    <row r="51" spans="9:10">
      <c r="I51" s="6" t="str">
        <f>VLOOKUP(M포인트몰양식!$I51,데이터_new!$A:$D,3,FALSE)</f>
        <v>여행용어댑터</v>
      </c>
      <c r="J51" s="6" t="str">
        <f t="array" ref="J51">INDEX(데이터_new!$D:$D, MATCH(1, (데이터_new!$A:$A=M포인트몰양식!I51)*(데이터_new!$B:$B=M포인트몰양식!J51), 0))</f>
        <v>블랙</v>
      </c>
    </row>
    <row r="52" spans="9:10">
      <c r="I52" s="6" t="str">
        <f>VLOOKUP(M포인트몰양식!$I52,데이터_new!$A:$D,3,FALSE)</f>
        <v>맥세이프 셀카봉</v>
      </c>
      <c r="J52" s="6" t="str">
        <f t="array" ref="J52">INDEX(데이터_new!$D:$D, MATCH(1, (데이터_new!$A:$A=M포인트몰양식!I52)*(데이터_new!$B:$B=M포인트몰양식!J52), 0))</f>
        <v>블랙 / 맥세이프 플레이트</v>
      </c>
    </row>
    <row r="53" spans="9:10">
      <c r="I53" s="6" t="str">
        <f>VLOOKUP(M포인트몰양식!$I53,데이터_new!$A:$D,3,FALSE)</f>
        <v>T3100</v>
      </c>
      <c r="J53" s="6" t="str">
        <f t="array" ref="J53">INDEX(데이터_new!$D:$D, MATCH(1, (데이터_new!$A:$A=M포인트몰양식!I53)*(데이터_new!$B:$B=M포인트몰양식!J53), 0))</f>
        <v>블랙</v>
      </c>
    </row>
    <row r="54" spans="9:10">
      <c r="I54" s="6" t="str">
        <f>VLOOKUP(M포인트몰양식!$I54,데이터_new!$A:$D,3,FALSE)</f>
        <v>QP2000C</v>
      </c>
      <c r="J54" s="6" t="str">
        <f t="array" ref="J54">INDEX(데이터_new!$D:$D, MATCH(1, (데이터_new!$A:$A=M포인트몰양식!I54)*(데이터_new!$B:$B=M포인트몰양식!J54), 0))</f>
        <v>세이지민트 / QP2000C 실리콘케이스 핸디형 민트</v>
      </c>
    </row>
    <row r="55" spans="9:10">
      <c r="I55" s="6" t="str">
        <f>VLOOKUP(M포인트몰양식!$I55,데이터_new!$A:$D,3,FALSE)</f>
        <v>QP2000C</v>
      </c>
      <c r="J55" s="6" t="str">
        <f t="array" ref="J55">INDEX(데이터_new!$D:$D, MATCH(1, (데이터_new!$A:$A=M포인트몰양식!I55)*(데이터_new!$B:$B=M포인트몰양식!J55), 0))</f>
        <v>세이지민트</v>
      </c>
    </row>
    <row r="56" spans="9:10">
      <c r="I56" s="6" t="str">
        <f>VLOOKUP(M포인트몰양식!$I56,데이터_new!$A:$D,3,FALSE)</f>
        <v>QMP5</v>
      </c>
      <c r="J56" s="6" t="str">
        <f t="array" ref="J56">INDEX(데이터_new!$D:$D, MATCH(1, (데이터_new!$A:$A=M포인트몰양식!I56)*(데이터_new!$B:$B=M포인트몰양식!J56), 0))</f>
        <v>화이트</v>
      </c>
    </row>
    <row r="57" spans="9:10">
      <c r="I57" s="6" t="str">
        <f>VLOOKUP(M포인트몰양식!$I57,데이터_new!$A:$D,3,FALSE)</f>
        <v>QMP5</v>
      </c>
      <c r="J57" s="6" t="str">
        <f t="array" ref="J57">INDEX(데이터_new!$D:$D, MATCH(1, (데이터_new!$A:$A=M포인트몰양식!I57)*(데이터_new!$B:$B=M포인트몰양식!J57), 0))</f>
        <v>화이트</v>
      </c>
    </row>
    <row r="58" spans="9:10">
      <c r="I58" s="6" t="str">
        <f>VLOOKUP(M포인트몰양식!$I58,데이터_new!$A:$D,3,FALSE)</f>
        <v>CC150K</v>
      </c>
      <c r="J58" s="6" t="str">
        <f t="array" ref="J58">INDEX(데이터_new!$D:$D, MATCH(1, (데이터_new!$A:$A=M포인트몰양식!I58)*(데이터_new!$B:$B=M포인트몰양식!J58), 0))</f>
        <v>블루</v>
      </c>
    </row>
    <row r="59" spans="9:10">
      <c r="I59" s="6" t="str">
        <f>VLOOKUP(M포인트몰양식!$I59,데이터_new!$A:$D,3,FALSE)</f>
        <v>여행용어댑터</v>
      </c>
      <c r="J59" s="6" t="str">
        <f t="array" ref="J59">INDEX(데이터_new!$D:$D, MATCH(1, (데이터_new!$A:$A=M포인트몰양식!I59)*(데이터_new!$B:$B=M포인트몰양식!J59), 0))</f>
        <v>블랙</v>
      </c>
    </row>
    <row r="60" spans="9:10">
      <c r="I60" s="6" t="str">
        <f>VLOOKUP(M포인트몰양식!$I60,데이터_new!$A:$D,3,FALSE)</f>
        <v>여행용어댑터</v>
      </c>
      <c r="J60" s="6" t="str">
        <f t="array" ref="J60">INDEX(데이터_new!$D:$D, MATCH(1, (데이터_new!$A:$A=M포인트몰양식!I60)*(데이터_new!$B:$B=M포인트몰양식!J60), 0))</f>
        <v>화이트</v>
      </c>
    </row>
    <row r="61" spans="9:10">
      <c r="I61" s="6" t="str">
        <f>VLOOKUP(M포인트몰양식!$I61,데이터_new!$A:$D,3,FALSE)</f>
        <v>QMP5</v>
      </c>
      <c r="J61" s="6" t="str">
        <f t="array" ref="J61">INDEX(데이터_new!$D:$D, MATCH(1, (데이터_new!$A:$A=M포인트몰양식!I61)*(데이터_new!$B:$B=M포인트몰양식!J61), 0))</f>
        <v>화이트</v>
      </c>
    </row>
    <row r="62" spans="9:10">
      <c r="I62" s="6" t="str">
        <f>VLOOKUP(M포인트몰양식!$I62,데이터_new!$A:$D,3,FALSE)</f>
        <v>Q3100S</v>
      </c>
      <c r="J62" s="6" t="str">
        <f t="array" ref="J62">INDEX(데이터_new!$D:$D, MATCH(1, (데이터_new!$A:$A=M포인트몰양식!I62)*(데이터_new!$B:$B=M포인트몰양식!J62), 0))</f>
        <v>그레이</v>
      </c>
    </row>
    <row r="63" spans="9:10">
      <c r="I63" s="6" t="str">
        <f>VLOOKUP(M포인트몰양식!$I63,데이터_new!$A:$D,3,FALSE)</f>
        <v>QP2000C</v>
      </c>
      <c r="J63" s="6" t="str">
        <f t="array" ref="J63">INDEX(데이터_new!$D:$D, MATCH(1, (데이터_new!$A:$A=M포인트몰양식!I63)*(데이터_new!$B:$B=M포인트몰양식!J63), 0))</f>
        <v>토마토레드</v>
      </c>
    </row>
    <row r="64" spans="9:10">
      <c r="I64" s="6" t="str">
        <f>VLOOKUP(M포인트몰양식!$I64,데이터_new!$A:$D,3,FALSE)</f>
        <v>QP2000C</v>
      </c>
      <c r="J64" s="6" t="str">
        <f t="array" ref="J64">INDEX(데이터_new!$D:$D, MATCH(1, (데이터_new!$A:$A=M포인트몰양식!I64)*(데이터_new!$B:$B=M포인트몰양식!J64), 0))</f>
        <v>블랙</v>
      </c>
    </row>
    <row r="65" spans="9:10">
      <c r="I65" s="6" t="str">
        <f>VLOOKUP(M포인트몰양식!$I65,데이터_new!$A:$D,3,FALSE)</f>
        <v>CC150K</v>
      </c>
      <c r="J65" s="6" t="str">
        <f t="array" ref="J65">INDEX(데이터_new!$D:$D, MATCH(1, (데이터_new!$A:$A=M포인트몰양식!I65)*(데이터_new!$B:$B=M포인트몰양식!J65), 0))</f>
        <v>블루</v>
      </c>
    </row>
    <row r="66" spans="9:10">
      <c r="I66" s="6" t="str">
        <f>VLOOKUP(M포인트몰양식!$I66,데이터_new!$A:$D,3,FALSE)</f>
        <v>QPD330</v>
      </c>
      <c r="J66" s="6" t="str">
        <f t="array" ref="J66">INDEX(데이터_new!$D:$D, MATCH(1, (데이터_new!$A:$A=M포인트몰양식!I66)*(데이터_new!$B:$B=M포인트몰양식!J66), 0))</f>
        <v>블루</v>
      </c>
    </row>
    <row r="67" spans="9:10">
      <c r="I67" s="6" t="str">
        <f>VLOOKUP(M포인트몰양식!$I67,데이터_new!$A:$D,3,FALSE)</f>
        <v>ACONE</v>
      </c>
      <c r="J67" s="6" t="str">
        <f t="array" ref="J67">INDEX(데이터_new!$D:$D, MATCH(1, (데이터_new!$A:$A=M포인트몰양식!I67)*(데이터_new!$B:$B=M포인트몰양식!J67), 0))</f>
        <v>모닝브리즈</v>
      </c>
    </row>
    <row r="68" spans="9:10">
      <c r="I68" s="6" t="str">
        <f>VLOOKUP(M포인트몰양식!$I68,데이터_new!$A:$D,3,FALSE)</f>
        <v>ACONE</v>
      </c>
      <c r="J68" s="6" t="str">
        <f t="array" ref="J68">INDEX(데이터_new!$D:$D, MATCH(1, (데이터_new!$A:$A=M포인트몰양식!I68)*(데이터_new!$B:$B=M포인트몰양식!J68), 0))</f>
        <v>선셋</v>
      </c>
    </row>
    <row r="69" spans="9:10">
      <c r="I69" s="6" t="str">
        <f>VLOOKUP(M포인트몰양식!$I69,데이터_new!$A:$D,3,FALSE)</f>
        <v>Q1500</v>
      </c>
      <c r="J69" s="6" t="str">
        <f t="array" ref="J69">INDEX(데이터_new!$D:$D, MATCH(1, (데이터_new!$A:$A=M포인트몰양식!I69)*(데이터_new!$B:$B=M포인트몰양식!J69), 0))</f>
        <v>화이트</v>
      </c>
    </row>
    <row r="70" spans="9:10">
      <c r="I70" s="6" t="str">
        <f>VLOOKUP(M포인트몰양식!$I70,데이터_new!$A:$D,3,FALSE)</f>
        <v>QP2000C</v>
      </c>
      <c r="J70" s="6" t="str">
        <f t="array" ref="J70">INDEX(데이터_new!$D:$D, MATCH(1, (데이터_new!$A:$A=M포인트몰양식!I70)*(데이터_new!$B:$B=M포인트몰양식!J70), 0))</f>
        <v>그린</v>
      </c>
    </row>
    <row r="71" spans="9:10">
      <c r="I71" s="6" t="str">
        <f>VLOOKUP(M포인트몰양식!$I71,데이터_new!$A:$D,3,FALSE)</f>
        <v>QP2000C</v>
      </c>
      <c r="J71" s="6" t="str">
        <f t="array" ref="J71">INDEX(데이터_new!$D:$D, MATCH(1, (데이터_new!$A:$A=M포인트몰양식!I71)*(데이터_new!$B:$B=M포인트몰양식!J71), 0))</f>
        <v>베이지</v>
      </c>
    </row>
    <row r="72" spans="9:10">
      <c r="I72" s="6" t="str">
        <f>VLOOKUP(M포인트몰양식!$I72,데이터_new!$A:$D,3,FALSE)</f>
        <v>QP2000C</v>
      </c>
      <c r="J72" s="6" t="str">
        <f t="array" ref="J72">INDEX(데이터_new!$D:$D, MATCH(1, (데이터_new!$A:$A=M포인트몰양식!I72)*(데이터_new!$B:$B=M포인트몰양식!J72), 0))</f>
        <v>세이지민트 / QP2000C 실리콘케이스 핸디형 민트</v>
      </c>
    </row>
    <row r="73" spans="9:10">
      <c r="I73" s="6" t="str">
        <f>VLOOKUP(M포인트몰양식!$I73,데이터_new!$A:$D,3,FALSE)</f>
        <v>QP2000C</v>
      </c>
      <c r="J73" s="6" t="str">
        <f t="array" ref="J73">INDEX(데이터_new!$D:$D, MATCH(1, (데이터_new!$A:$A=M포인트몰양식!I73)*(데이터_new!$B:$B=M포인트몰양식!J73), 0))</f>
        <v>토마토레드</v>
      </c>
    </row>
    <row r="74" spans="9:10">
      <c r="I74" s="6" t="str">
        <f>VLOOKUP(M포인트몰양식!$I74,데이터_new!$A:$D,3,FALSE)</f>
        <v>QP2000C</v>
      </c>
      <c r="J74" s="6" t="str">
        <f t="array" ref="J74">INDEX(데이터_new!$D:$D, MATCH(1, (데이터_new!$A:$A=M포인트몰양식!I74)*(데이터_new!$B:$B=M포인트몰양식!J74), 0))</f>
        <v>그린 / QP2000C 실리콘케이스 핸디형 핑크</v>
      </c>
    </row>
    <row r="75" spans="9:10">
      <c r="I75" s="6" t="str">
        <f>VLOOKUP(M포인트몰양식!$I75,데이터_new!$A:$D,3,FALSE)</f>
        <v>Q3100S</v>
      </c>
      <c r="J75" s="6" t="str">
        <f t="array" ref="J75">INDEX(데이터_new!$D:$D, MATCH(1, (데이터_new!$A:$A=M포인트몰양식!I75)*(데이터_new!$B:$B=M포인트몰양식!J75), 0))</f>
        <v>그레이</v>
      </c>
    </row>
    <row r="76" spans="9:10">
      <c r="I76" s="6" t="str">
        <f>VLOOKUP(M포인트몰양식!$I76,데이터_new!$A:$D,3,FALSE)</f>
        <v>맥세이프 셀카봉</v>
      </c>
      <c r="J76" s="6" t="str">
        <f t="array" ref="J76">INDEX(데이터_new!$D:$D, MATCH(1, (데이터_new!$A:$A=M포인트몰양식!I76)*(데이터_new!$B:$B=M포인트몰양식!J76), 0))</f>
        <v>블랙 / 맥세이프 플레이트</v>
      </c>
    </row>
    <row r="77" spans="9:10">
      <c r="I77" s="6" t="str">
        <f>VLOOKUP(M포인트몰양식!$I77,데이터_new!$A:$D,3,FALSE)</f>
        <v>CC150K</v>
      </c>
      <c r="J77" s="6" t="str">
        <f t="array" ref="J77">INDEX(데이터_new!$D:$D, MATCH(1, (데이터_new!$A:$A=M포인트몰양식!I77)*(데이터_new!$B:$B=M포인트몰양식!J77), 0))</f>
        <v>핑크</v>
      </c>
    </row>
    <row r="78" spans="9:10">
      <c r="I78" s="6" t="str">
        <f>VLOOKUP(M포인트몰양식!$I78,데이터_new!$A:$D,3,FALSE)</f>
        <v>QPD330</v>
      </c>
      <c r="J78" s="6" t="str">
        <f t="array" ref="J78">INDEX(데이터_new!$D:$D, MATCH(1, (데이터_new!$A:$A=M포인트몰양식!I78)*(데이터_new!$B:$B=M포인트몰양식!J78), 0))</f>
        <v>소프트화이트</v>
      </c>
    </row>
    <row r="79" spans="9:10">
      <c r="I79" s="6" t="str">
        <f>VLOOKUP(M포인트몰양식!$I79,데이터_new!$A:$D,3,FALSE)</f>
        <v>QP2000C</v>
      </c>
      <c r="J79" s="6" t="str">
        <f t="array" ref="J79">INDEX(데이터_new!$D:$D, MATCH(1, (데이터_new!$A:$A=M포인트몰양식!I79)*(데이터_new!$B:$B=M포인트몰양식!J79), 0))</f>
        <v>블랙 / QP2000C 실리콘케이스 핸디형 샌드</v>
      </c>
    </row>
    <row r="80" spans="9:10">
      <c r="I80" s="6" t="str">
        <f>VLOOKUP(M포인트몰양식!$I80,데이터_new!$A:$D,3,FALSE)</f>
        <v>여행용어댑터</v>
      </c>
      <c r="J80" s="6" t="str">
        <f t="array" ref="J80">INDEX(데이터_new!$D:$D, MATCH(1, (데이터_new!$A:$A=M포인트몰양식!I80)*(데이터_new!$B:$B=M포인트몰양식!J80), 0))</f>
        <v>화이트</v>
      </c>
    </row>
    <row r="81" spans="9:10">
      <c r="I81" s="6" t="e">
        <f>VLOOKUP(M포인트몰양식!$I81,데이터_new!$A:$D,3,FALSE)</f>
        <v>#N/A</v>
      </c>
      <c r="J81" s="6">
        <f t="array" ref="J81">INDEX(데이터_new!$D:$D, MATCH(1, (데이터_new!$A:$A=M포인트몰양식!I81)*(데이터_new!$B:$B=M포인트몰양식!J81), 0))</f>
        <v>0</v>
      </c>
    </row>
    <row r="82" spans="9:10">
      <c r="I82" s="6" t="e">
        <f>VLOOKUP(M포인트몰양식!$I82,데이터_new!$A:$D,3,FALSE)</f>
        <v>#N/A</v>
      </c>
      <c r="J82" s="6">
        <f t="array" ref="J82">INDEX(데이터_new!$D:$D, MATCH(1, (데이터_new!$A:$A=M포인트몰양식!I82)*(데이터_new!$B:$B=M포인트몰양식!J82), 0))</f>
        <v>0</v>
      </c>
    </row>
    <row r="83" spans="9:10">
      <c r="I83" s="6" t="e">
        <f>VLOOKUP(M포인트몰양식!$I83,데이터_new!$A:$D,3,FALSE)</f>
        <v>#N/A</v>
      </c>
      <c r="J83" s="6">
        <f t="array" ref="J83">INDEX(데이터_new!$D:$D, MATCH(1, (데이터_new!$A:$A=M포인트몰양식!I83)*(데이터_new!$B:$B=M포인트몰양식!J83), 0))</f>
        <v>0</v>
      </c>
    </row>
    <row r="84" spans="9:10">
      <c r="I84" s="6" t="e">
        <f>VLOOKUP(M포인트몰양식!$I84,데이터_new!$A:$D,3,FALSE)</f>
        <v>#N/A</v>
      </c>
      <c r="J84" s="6">
        <f t="array" ref="J84">INDEX(데이터_new!$D:$D, MATCH(1, (데이터_new!$A:$A=M포인트몰양식!I84)*(데이터_new!$B:$B=M포인트몰양식!J84), 0))</f>
        <v>0</v>
      </c>
    </row>
    <row r="85" spans="9:10">
      <c r="I85" s="6" t="e">
        <f>VLOOKUP(M포인트몰양식!$I85,데이터_new!$A:$D,3,FALSE)</f>
        <v>#N/A</v>
      </c>
      <c r="J85" s="6">
        <f t="array" ref="J85">INDEX(데이터_new!$D:$D, MATCH(1, (데이터_new!$A:$A=M포인트몰양식!I85)*(데이터_new!$B:$B=M포인트몰양식!J85), 0))</f>
        <v>0</v>
      </c>
    </row>
    <row r="86" spans="9:10">
      <c r="I86" s="6" t="e">
        <f>VLOOKUP(M포인트몰양식!$I86,데이터_new!$A:$D,3,FALSE)</f>
        <v>#N/A</v>
      </c>
      <c r="J86" s="6">
        <f t="array" ref="J86">INDEX(데이터_new!$D:$D, MATCH(1, (데이터_new!$A:$A=M포인트몰양식!I86)*(데이터_new!$B:$B=M포인트몰양식!J86), 0))</f>
        <v>0</v>
      </c>
    </row>
    <row r="87" spans="9:10">
      <c r="I87" s="6" t="e">
        <f>VLOOKUP(M포인트몰양식!$I87,데이터_new!$A:$D,3,FALSE)</f>
        <v>#N/A</v>
      </c>
      <c r="J87" s="6">
        <f t="array" ref="J87">INDEX(데이터_new!$D:$D, MATCH(1, (데이터_new!$A:$A=M포인트몰양식!I87)*(데이터_new!$B:$B=M포인트몰양식!J87), 0))</f>
        <v>0</v>
      </c>
    </row>
    <row r="88" spans="9:10">
      <c r="I88" s="6" t="e">
        <f>VLOOKUP(M포인트몰양식!$I88,데이터_new!$A:$D,3,FALSE)</f>
        <v>#N/A</v>
      </c>
      <c r="J88" s="6">
        <f t="array" ref="J88">INDEX(데이터_new!$D:$D, MATCH(1, (데이터_new!$A:$A=M포인트몰양식!I88)*(데이터_new!$B:$B=M포인트몰양식!J88), 0))</f>
        <v>0</v>
      </c>
    </row>
    <row r="89" spans="9:10">
      <c r="I89" s="6" t="e">
        <f>VLOOKUP(M포인트몰양식!$I89,데이터_new!$A:$D,3,FALSE)</f>
        <v>#N/A</v>
      </c>
      <c r="J89" s="6">
        <f t="array" ref="J89">INDEX(데이터_new!$D:$D, MATCH(1, (데이터_new!$A:$A=M포인트몰양식!I89)*(데이터_new!$B:$B=M포인트몰양식!J89), 0))</f>
        <v>0</v>
      </c>
    </row>
    <row r="90" spans="9:10">
      <c r="I90" s="6" t="e">
        <f>VLOOKUP(M포인트몰양식!$I90,데이터_new!$A:$D,3,FALSE)</f>
        <v>#N/A</v>
      </c>
      <c r="J90" s="6">
        <f t="array" ref="J90">INDEX(데이터_new!$D:$D, MATCH(1, (데이터_new!$A:$A=M포인트몰양식!I90)*(데이터_new!$B:$B=M포인트몰양식!J90), 0))</f>
        <v>0</v>
      </c>
    </row>
    <row r="91" spans="9:10">
      <c r="I91" s="6" t="e">
        <f>VLOOKUP(M포인트몰양식!$I91,데이터_new!$A:$D,3,FALSE)</f>
        <v>#N/A</v>
      </c>
      <c r="J91" s="6">
        <f t="array" ref="J91">INDEX(데이터_new!$D:$D, MATCH(1, (데이터_new!$A:$A=M포인트몰양식!I91)*(데이터_new!$B:$B=M포인트몰양식!J91), 0))</f>
        <v>0</v>
      </c>
    </row>
    <row r="92" spans="9:10">
      <c r="I92" s="6" t="e">
        <f>VLOOKUP(M포인트몰양식!$I92,데이터_new!$A:$D,3,FALSE)</f>
        <v>#N/A</v>
      </c>
      <c r="J92" s="6">
        <f t="array" ref="J92">INDEX(데이터_new!$D:$D, MATCH(1, (데이터_new!$A:$A=M포인트몰양식!I92)*(데이터_new!$B:$B=M포인트몰양식!J92), 0))</f>
        <v>0</v>
      </c>
    </row>
    <row r="93" spans="9:10">
      <c r="I93" s="6" t="e">
        <f>VLOOKUP(M포인트몰양식!$I93,데이터_new!$A:$D,3,FALSE)</f>
        <v>#N/A</v>
      </c>
      <c r="J93" s="6">
        <f t="array" ref="J93">INDEX(데이터_new!$D:$D, MATCH(1, (데이터_new!$A:$A=M포인트몰양식!I93)*(데이터_new!$B:$B=M포인트몰양식!J93), 0))</f>
        <v>0</v>
      </c>
    </row>
    <row r="94" spans="9:10">
      <c r="I94" s="6" t="e">
        <f>VLOOKUP(M포인트몰양식!$I94,데이터_new!$A:$D,3,FALSE)</f>
        <v>#N/A</v>
      </c>
      <c r="J94" s="6">
        <f t="array" ref="J94">INDEX(데이터_new!$D:$D, MATCH(1, (데이터_new!$A:$A=M포인트몰양식!I94)*(데이터_new!$B:$B=M포인트몰양식!J94), 0))</f>
        <v>0</v>
      </c>
    </row>
    <row r="95" spans="9:10">
      <c r="I95" s="6" t="e">
        <f>VLOOKUP(M포인트몰양식!$I95,데이터_new!$A:$D,3,FALSE)</f>
        <v>#N/A</v>
      </c>
      <c r="J95" s="6">
        <f t="array" ref="J95">INDEX(데이터_new!$D:$D, MATCH(1, (데이터_new!$A:$A=M포인트몰양식!I95)*(데이터_new!$B:$B=M포인트몰양식!J95), 0))</f>
        <v>0</v>
      </c>
    </row>
    <row r="96" spans="9:10">
      <c r="I96" s="6" t="e">
        <f>VLOOKUP(M포인트몰양식!$I96,데이터_new!$A:$D,3,FALSE)</f>
        <v>#N/A</v>
      </c>
      <c r="J96" s="6">
        <f t="array" ref="J96">INDEX(데이터_new!$D:$D, MATCH(1, (데이터_new!$A:$A=M포인트몰양식!I96)*(데이터_new!$B:$B=M포인트몰양식!J96), 0))</f>
        <v>0</v>
      </c>
    </row>
    <row r="97" spans="9:10">
      <c r="I97" s="6" t="e">
        <f>VLOOKUP(M포인트몰양식!$I97,데이터_new!$A:$D,3,FALSE)</f>
        <v>#N/A</v>
      </c>
      <c r="J97" s="6">
        <f t="array" ref="J97">INDEX(데이터_new!$D:$D, MATCH(1, (데이터_new!$A:$A=M포인트몰양식!I97)*(데이터_new!$B:$B=M포인트몰양식!J97), 0))</f>
        <v>0</v>
      </c>
    </row>
    <row r="98" spans="9:10">
      <c r="I98" s="6" t="e">
        <f>VLOOKUP(M포인트몰양식!$I98,데이터_new!$A:$D,3,FALSE)</f>
        <v>#N/A</v>
      </c>
      <c r="J98" s="6">
        <f t="array" ref="J98">INDEX(데이터_new!$D:$D, MATCH(1, (데이터_new!$A:$A=M포인트몰양식!I98)*(데이터_new!$B:$B=M포인트몰양식!J98), 0))</f>
        <v>0</v>
      </c>
    </row>
    <row r="99" spans="9:10">
      <c r="I99" s="6" t="e">
        <f>VLOOKUP(M포인트몰양식!$I99,데이터_new!$A:$D,3,FALSE)</f>
        <v>#N/A</v>
      </c>
      <c r="J99" s="6">
        <f t="array" ref="J99">INDEX(데이터_new!$D:$D, MATCH(1, (데이터_new!$A:$A=M포인트몰양식!I99)*(데이터_new!$B:$B=M포인트몰양식!J99), 0))</f>
        <v>0</v>
      </c>
    </row>
    <row r="100" spans="9:10">
      <c r="I100" s="6" t="e">
        <f>VLOOKUP(M포인트몰양식!$I100,데이터_new!$A:$D,3,FALSE)</f>
        <v>#N/A</v>
      </c>
      <c r="J100" s="6">
        <f t="array" ref="J100">INDEX(데이터_new!$D:$D, MATCH(1, (데이터_new!$A:$A=M포인트몰양식!I100)*(데이터_new!$B:$B=M포인트몰양식!J100), 0))</f>
        <v>0</v>
      </c>
    </row>
    <row r="101" spans="9:10">
      <c r="I101" s="6" t="e">
        <f>VLOOKUP(M포인트몰양식!$I101,데이터_new!$A:$D,3,FALSE)</f>
        <v>#N/A</v>
      </c>
      <c r="J101" s="6">
        <f t="array" ref="J101">INDEX(데이터_new!$D:$D, MATCH(1, (데이터_new!$A:$A=M포인트몰양식!I101)*(데이터_new!$B:$B=M포인트몰양식!J101), 0))</f>
        <v>0</v>
      </c>
    </row>
    <row r="102" spans="9:10">
      <c r="I102" s="6" t="e">
        <f>VLOOKUP(M포인트몰양식!$I102,데이터_new!$A:$D,3,FALSE)</f>
        <v>#N/A</v>
      </c>
      <c r="J102" s="6">
        <f t="array" ref="J102">INDEX(데이터_new!$D:$D, MATCH(1, (데이터_new!$A:$A=M포인트몰양식!I102)*(데이터_new!$B:$B=M포인트몰양식!J102), 0))</f>
        <v>0</v>
      </c>
    </row>
    <row r="103" spans="9:10">
      <c r="I103" s="6" t="e">
        <f>VLOOKUP(M포인트몰양식!$I103,데이터_new!$A:$D,3,FALSE)</f>
        <v>#N/A</v>
      </c>
      <c r="J103" s="6">
        <f t="array" ref="J103">INDEX(데이터_new!$D:$D, MATCH(1, (데이터_new!$A:$A=M포인트몰양식!I103)*(데이터_new!$B:$B=M포인트몰양식!J103), 0))</f>
        <v>0</v>
      </c>
    </row>
    <row r="104" spans="9:10">
      <c r="I104" s="6" t="e">
        <f>VLOOKUP(M포인트몰양식!$I104,데이터_new!$A:$D,3,FALSE)</f>
        <v>#N/A</v>
      </c>
      <c r="J104" s="6">
        <f t="array" ref="J104">INDEX(데이터_new!$D:$D, MATCH(1, (데이터_new!$A:$A=M포인트몰양식!I104)*(데이터_new!$B:$B=M포인트몰양식!J104), 0))</f>
        <v>0</v>
      </c>
    </row>
    <row r="105" spans="9:10">
      <c r="I105" s="6" t="e">
        <f>VLOOKUP(M포인트몰양식!$I105,데이터_new!$A:$D,3,FALSE)</f>
        <v>#N/A</v>
      </c>
      <c r="J105" s="6">
        <f t="array" ref="J105">INDEX(데이터_new!$D:$D, MATCH(1, (데이터_new!$A:$A=M포인트몰양식!I105)*(데이터_new!$B:$B=M포인트몰양식!J105), 0))</f>
        <v>0</v>
      </c>
    </row>
    <row r="106" spans="9:10">
      <c r="I106" s="6" t="e">
        <f>VLOOKUP(M포인트몰양식!$I106,데이터_new!$A:$D,3,FALSE)</f>
        <v>#N/A</v>
      </c>
      <c r="J106" s="6">
        <f t="array" ref="J106">INDEX(데이터_new!$D:$D, MATCH(1, (데이터_new!$A:$A=M포인트몰양식!I106)*(데이터_new!$B:$B=M포인트몰양식!J106), 0))</f>
        <v>0</v>
      </c>
    </row>
    <row r="107" spans="9:10">
      <c r="I107" s="6" t="e">
        <f>VLOOKUP(M포인트몰양식!$I107,데이터_new!$A:$D,3,FALSE)</f>
        <v>#N/A</v>
      </c>
      <c r="J107" s="6">
        <f t="array" ref="J107">INDEX(데이터_new!$D:$D, MATCH(1, (데이터_new!$A:$A=M포인트몰양식!I107)*(데이터_new!$B:$B=M포인트몰양식!J107), 0))</f>
        <v>0</v>
      </c>
    </row>
    <row r="108" spans="9:10">
      <c r="I108" s="6" t="e">
        <f>VLOOKUP(M포인트몰양식!$I108,데이터_new!$A:$D,3,FALSE)</f>
        <v>#N/A</v>
      </c>
      <c r="J108" s="6">
        <f t="array" ref="J108">INDEX(데이터_new!$D:$D, MATCH(1, (데이터_new!$A:$A=M포인트몰양식!I108)*(데이터_new!$B:$B=M포인트몰양식!J108), 0))</f>
        <v>0</v>
      </c>
    </row>
    <row r="109" spans="9:10">
      <c r="I109" s="6" t="e">
        <f>VLOOKUP(M포인트몰양식!$I109,데이터_new!$A:$D,3,FALSE)</f>
        <v>#N/A</v>
      </c>
      <c r="J109" s="6">
        <f t="array" ref="J109">INDEX(데이터_new!$D:$D, MATCH(1, (데이터_new!$A:$A=M포인트몰양식!I109)*(데이터_new!$B:$B=M포인트몰양식!J109), 0))</f>
        <v>0</v>
      </c>
    </row>
    <row r="110" spans="9:10">
      <c r="I110" s="6" t="e">
        <f>VLOOKUP(M포인트몰양식!$I110,데이터_new!$A:$D,3,FALSE)</f>
        <v>#N/A</v>
      </c>
      <c r="J110" s="6">
        <f t="array" ref="J110">INDEX(데이터_new!$D:$D, MATCH(1, (데이터_new!$A:$A=M포인트몰양식!I110)*(데이터_new!$B:$B=M포인트몰양식!J110), 0))</f>
        <v>0</v>
      </c>
    </row>
    <row r="111" spans="9:10">
      <c r="I111" s="6" t="e">
        <f>VLOOKUP(M포인트몰양식!$I111,데이터_new!$A:$D,3,FALSE)</f>
        <v>#N/A</v>
      </c>
      <c r="J111" s="6">
        <f t="array" ref="J111">INDEX(데이터_new!$D:$D, MATCH(1, (데이터_new!$A:$A=M포인트몰양식!I111)*(데이터_new!$B:$B=M포인트몰양식!J111), 0))</f>
        <v>0</v>
      </c>
    </row>
    <row r="112" spans="9:10">
      <c r="I112" s="6" t="e">
        <f>VLOOKUP(M포인트몰양식!$I112,데이터_new!$A:$D,3,FALSE)</f>
        <v>#N/A</v>
      </c>
      <c r="J112" s="6">
        <f t="array" ref="J112">INDEX(데이터_new!$D:$D, MATCH(1, (데이터_new!$A:$A=M포인트몰양식!I112)*(데이터_new!$B:$B=M포인트몰양식!J112), 0))</f>
        <v>0</v>
      </c>
    </row>
    <row r="113" spans="9:10">
      <c r="I113" s="6" t="e">
        <f>VLOOKUP(M포인트몰양식!$I113,데이터_new!$A:$D,3,FALSE)</f>
        <v>#N/A</v>
      </c>
      <c r="J113" s="6">
        <f t="array" ref="J113">INDEX(데이터_new!$D:$D, MATCH(1, (데이터_new!$A:$A=M포인트몰양식!I113)*(데이터_new!$B:$B=M포인트몰양식!J113), 0))</f>
        <v>0</v>
      </c>
    </row>
    <row r="114" spans="9:10">
      <c r="I114" s="6" t="e">
        <f>VLOOKUP(M포인트몰양식!$I114,데이터_new!$A:$D,3,FALSE)</f>
        <v>#N/A</v>
      </c>
      <c r="J114" s="6">
        <f t="array" ref="J114">INDEX(데이터_new!$D:$D, MATCH(1, (데이터_new!$A:$A=M포인트몰양식!I114)*(데이터_new!$B:$B=M포인트몰양식!J114), 0))</f>
        <v>0</v>
      </c>
    </row>
    <row r="115" spans="9:10">
      <c r="I115" s="6" t="e">
        <f>VLOOKUP(M포인트몰양식!$I115,데이터_new!$A:$D,3,FALSE)</f>
        <v>#N/A</v>
      </c>
      <c r="J115" s="6">
        <f t="array" ref="J115">INDEX(데이터_new!$D:$D, MATCH(1, (데이터_new!$A:$A=M포인트몰양식!I115)*(데이터_new!$B:$B=M포인트몰양식!J115), 0))</f>
        <v>0</v>
      </c>
    </row>
    <row r="116" spans="9:10">
      <c r="I116" s="6" t="e">
        <f>VLOOKUP(M포인트몰양식!$I116,데이터_new!$A:$D,3,FALSE)</f>
        <v>#N/A</v>
      </c>
      <c r="J116" s="6">
        <f t="array" ref="J116">INDEX(데이터_new!$D:$D, MATCH(1, (데이터_new!$A:$A=M포인트몰양식!I116)*(데이터_new!$B:$B=M포인트몰양식!J116), 0))</f>
        <v>0</v>
      </c>
    </row>
    <row r="117" spans="9:10">
      <c r="I117" s="6" t="e">
        <f>VLOOKUP(M포인트몰양식!$I117,데이터_new!$A:$D,3,FALSE)</f>
        <v>#N/A</v>
      </c>
      <c r="J117" s="6">
        <f t="array" ref="J117">INDEX(데이터_new!$D:$D, MATCH(1, (데이터_new!$A:$A=M포인트몰양식!I117)*(데이터_new!$B:$B=M포인트몰양식!J117), 0))</f>
        <v>0</v>
      </c>
    </row>
    <row r="118" spans="9:10">
      <c r="I118" s="6" t="e">
        <f>VLOOKUP(M포인트몰양식!$I118,데이터_new!$A:$D,3,FALSE)</f>
        <v>#N/A</v>
      </c>
      <c r="J118" s="6">
        <f t="array" ref="J118">INDEX(데이터_new!$D:$D, MATCH(1, (데이터_new!$A:$A=M포인트몰양식!I118)*(데이터_new!$B:$B=M포인트몰양식!J118), 0))</f>
        <v>0</v>
      </c>
    </row>
    <row r="119" spans="9:10">
      <c r="I119" s="6" t="e">
        <f>VLOOKUP(M포인트몰양식!$I119,데이터_new!$A:$D,3,FALSE)</f>
        <v>#N/A</v>
      </c>
      <c r="J119" s="6">
        <f t="array" ref="J119">INDEX(데이터_new!$D:$D, MATCH(1, (데이터_new!$A:$A=M포인트몰양식!I119)*(데이터_new!$B:$B=M포인트몰양식!J119), 0))</f>
        <v>0</v>
      </c>
    </row>
    <row r="120" spans="9:10">
      <c r="I120" s="6" t="e">
        <f>VLOOKUP(M포인트몰양식!$I120,데이터_new!$A:$D,3,FALSE)</f>
        <v>#N/A</v>
      </c>
      <c r="J120" s="6">
        <f t="array" ref="J120">INDEX(데이터_new!$D:$D, MATCH(1, (데이터_new!$A:$A=M포인트몰양식!I120)*(데이터_new!$B:$B=M포인트몰양식!J120), 0))</f>
        <v>0</v>
      </c>
    </row>
    <row r="121" spans="9:10">
      <c r="I121" s="6" t="e">
        <f>VLOOKUP(M포인트몰양식!$I121,데이터_new!$A:$D,3,FALSE)</f>
        <v>#N/A</v>
      </c>
      <c r="J121" s="6">
        <f t="array" ref="J121">INDEX(데이터_new!$D:$D, MATCH(1, (데이터_new!$A:$A=M포인트몰양식!I121)*(데이터_new!$B:$B=M포인트몰양식!J121), 0))</f>
        <v>0</v>
      </c>
    </row>
    <row r="122" spans="9:10">
      <c r="I122" s="6" t="e">
        <f>VLOOKUP(M포인트몰양식!$I122,데이터_new!$A:$D,3,FALSE)</f>
        <v>#N/A</v>
      </c>
      <c r="J122" s="6">
        <f t="array" ref="J122">INDEX(데이터_new!$D:$D, MATCH(1, (데이터_new!$A:$A=M포인트몰양식!I122)*(데이터_new!$B:$B=M포인트몰양식!J122), 0))</f>
        <v>0</v>
      </c>
    </row>
    <row r="123" spans="9:10">
      <c r="I123" s="6" t="e">
        <f>VLOOKUP(M포인트몰양식!$I123,데이터_new!$A:$D,3,FALSE)</f>
        <v>#N/A</v>
      </c>
      <c r="J123" s="6">
        <f t="array" ref="J123">INDEX(데이터_new!$D:$D, MATCH(1, (데이터_new!$A:$A=M포인트몰양식!I123)*(데이터_new!$B:$B=M포인트몰양식!J123), 0))</f>
        <v>0</v>
      </c>
    </row>
    <row r="124" spans="9:10">
      <c r="I124" s="6" t="e">
        <f>VLOOKUP(M포인트몰양식!$I124,데이터_new!$A:$D,3,FALSE)</f>
        <v>#N/A</v>
      </c>
      <c r="J124" s="6">
        <f t="array" ref="J124">INDEX(데이터_new!$D:$D, MATCH(1, (데이터_new!$A:$A=M포인트몰양식!I124)*(데이터_new!$B:$B=M포인트몰양식!J124), 0))</f>
        <v>0</v>
      </c>
    </row>
    <row r="125" spans="9:10">
      <c r="I125" s="6" t="e">
        <f>VLOOKUP(M포인트몰양식!$I125,데이터_new!$A:$D,3,FALSE)</f>
        <v>#N/A</v>
      </c>
      <c r="J125" s="6">
        <f t="array" ref="J125">INDEX(데이터_new!$D:$D, MATCH(1, (데이터_new!$A:$A=M포인트몰양식!I125)*(데이터_new!$B:$B=M포인트몰양식!J125), 0))</f>
        <v>0</v>
      </c>
    </row>
    <row r="126" spans="9:10">
      <c r="I126" s="6" t="e">
        <f>VLOOKUP(M포인트몰양식!$I126,데이터_new!$A:$D,3,FALSE)</f>
        <v>#N/A</v>
      </c>
      <c r="J126" s="6">
        <f t="array" ref="J126">INDEX(데이터_new!$D:$D, MATCH(1, (데이터_new!$A:$A=M포인트몰양식!I126)*(데이터_new!$B:$B=M포인트몰양식!J126), 0))</f>
        <v>0</v>
      </c>
    </row>
    <row r="127" spans="9:10">
      <c r="I127" s="6" t="e">
        <f>VLOOKUP(M포인트몰양식!$I127,데이터_new!$A:$D,3,FALSE)</f>
        <v>#N/A</v>
      </c>
      <c r="J127" s="6">
        <f t="array" ref="J127">INDEX(데이터_new!$D:$D, MATCH(1, (데이터_new!$A:$A=M포인트몰양식!I127)*(데이터_new!$B:$B=M포인트몰양식!J127), 0))</f>
        <v>0</v>
      </c>
    </row>
    <row r="128" spans="9:10">
      <c r="I128" s="6" t="e">
        <f>VLOOKUP(M포인트몰양식!$I128,데이터_new!$A:$D,3,FALSE)</f>
        <v>#N/A</v>
      </c>
      <c r="J128" s="6">
        <f t="array" ref="J128">INDEX(데이터_new!$D:$D, MATCH(1, (데이터_new!$A:$A=M포인트몰양식!I128)*(데이터_new!$B:$B=M포인트몰양식!J128), 0))</f>
        <v>0</v>
      </c>
    </row>
    <row r="129" spans="9:10">
      <c r="I129" s="6" t="e">
        <f>VLOOKUP(M포인트몰양식!$I129,데이터_new!$A:$D,3,FALSE)</f>
        <v>#N/A</v>
      </c>
      <c r="J129" s="6">
        <f t="array" ref="J129">INDEX(데이터_new!$D:$D, MATCH(1, (데이터_new!$A:$A=M포인트몰양식!I129)*(데이터_new!$B:$B=M포인트몰양식!J129), 0))</f>
        <v>0</v>
      </c>
    </row>
    <row r="130" spans="9:10">
      <c r="I130" s="6" t="e">
        <f>VLOOKUP(M포인트몰양식!$I130,데이터_new!$A:$D,3,FALSE)</f>
        <v>#N/A</v>
      </c>
      <c r="J130" s="6">
        <f t="array" ref="J130">INDEX(데이터_new!$D:$D, MATCH(1, (데이터_new!$A:$A=M포인트몰양식!I130)*(데이터_new!$B:$B=M포인트몰양식!J130), 0))</f>
        <v>0</v>
      </c>
    </row>
    <row r="131" spans="9:10">
      <c r="I131" s="6" t="e">
        <f>VLOOKUP(M포인트몰양식!$I131,데이터_new!$A:$D,3,FALSE)</f>
        <v>#N/A</v>
      </c>
      <c r="J131" s="6">
        <f t="array" ref="J131">INDEX(데이터_new!$D:$D, MATCH(1, (데이터_new!$A:$A=M포인트몰양식!I131)*(데이터_new!$B:$B=M포인트몰양식!J131), 0))</f>
        <v>0</v>
      </c>
    </row>
    <row r="132" spans="9:10">
      <c r="I132" s="6" t="e">
        <f>VLOOKUP(M포인트몰양식!$I132,데이터_new!$A:$D,3,FALSE)</f>
        <v>#N/A</v>
      </c>
      <c r="J132" s="6">
        <f t="array" ref="J132">INDEX(데이터_new!$D:$D, MATCH(1, (데이터_new!$A:$A=M포인트몰양식!I132)*(데이터_new!$B:$B=M포인트몰양식!J132), 0))</f>
        <v>0</v>
      </c>
    </row>
    <row r="133" spans="9:10">
      <c r="I133" s="6" t="e">
        <f>VLOOKUP(M포인트몰양식!$I133,데이터_new!$A:$D,3,FALSE)</f>
        <v>#N/A</v>
      </c>
      <c r="J133" s="6">
        <f t="array" ref="J133">INDEX(데이터_new!$D:$D, MATCH(1, (데이터_new!$A:$A=M포인트몰양식!I133)*(데이터_new!$B:$B=M포인트몰양식!J133), 0))</f>
        <v>0</v>
      </c>
    </row>
    <row r="134" spans="9:10">
      <c r="I134" s="6" t="e">
        <f>VLOOKUP(M포인트몰양식!$I134,데이터_new!$A:$D,3,FALSE)</f>
        <v>#N/A</v>
      </c>
      <c r="J134" s="6">
        <f t="array" ref="J134">INDEX(데이터_new!$D:$D, MATCH(1, (데이터_new!$A:$A=M포인트몰양식!I134)*(데이터_new!$B:$B=M포인트몰양식!J134), 0))</f>
        <v>0</v>
      </c>
    </row>
    <row r="135" spans="9:10">
      <c r="I135" s="6" t="e">
        <f>VLOOKUP(M포인트몰양식!$I135,데이터_new!$A:$D,3,FALSE)</f>
        <v>#N/A</v>
      </c>
      <c r="J135" s="6">
        <f t="array" ref="J135">INDEX(데이터_new!$D:$D, MATCH(1, (데이터_new!$A:$A=M포인트몰양식!I135)*(데이터_new!$B:$B=M포인트몰양식!J135), 0))</f>
        <v>0</v>
      </c>
    </row>
    <row r="136" spans="9:10">
      <c r="I136" s="6" t="e">
        <f>VLOOKUP(M포인트몰양식!$I136,데이터_new!$A:$D,3,FALSE)</f>
        <v>#N/A</v>
      </c>
      <c r="J136" s="6">
        <f t="array" ref="J136">INDEX(데이터_new!$D:$D, MATCH(1, (데이터_new!$A:$A=M포인트몰양식!I136)*(데이터_new!$B:$B=M포인트몰양식!J136), 0))</f>
        <v>0</v>
      </c>
    </row>
    <row r="137" spans="9:10">
      <c r="I137" s="6" t="e">
        <f>VLOOKUP(M포인트몰양식!$I137,데이터_new!$A:$D,3,FALSE)</f>
        <v>#N/A</v>
      </c>
      <c r="J137" s="6">
        <f t="array" ref="J137">INDEX(데이터_new!$D:$D, MATCH(1, (데이터_new!$A:$A=M포인트몰양식!I137)*(데이터_new!$B:$B=M포인트몰양식!J137), 0))</f>
        <v>0</v>
      </c>
    </row>
    <row r="138" spans="9:10">
      <c r="I138" s="6" t="e">
        <f>VLOOKUP(M포인트몰양식!$I138,데이터_new!$A:$D,3,FALSE)</f>
        <v>#N/A</v>
      </c>
      <c r="J138" s="6">
        <f t="array" ref="J138">INDEX(데이터_new!$D:$D, MATCH(1, (데이터_new!$A:$A=M포인트몰양식!I138)*(데이터_new!$B:$B=M포인트몰양식!J138), 0))</f>
        <v>0</v>
      </c>
    </row>
    <row r="139" spans="9:10">
      <c r="I139" s="6" t="e">
        <f>VLOOKUP(M포인트몰양식!$I139,데이터_new!$A:$D,3,FALSE)</f>
        <v>#N/A</v>
      </c>
      <c r="J139" s="6">
        <f t="array" ref="J139">INDEX(데이터_new!$D:$D, MATCH(1, (데이터_new!$A:$A=M포인트몰양식!I139)*(데이터_new!$B:$B=M포인트몰양식!J139), 0))</f>
        <v>0</v>
      </c>
    </row>
    <row r="140" spans="9:10">
      <c r="I140" s="6" t="e">
        <f>VLOOKUP(M포인트몰양식!$I140,데이터_new!$A:$D,3,FALSE)</f>
        <v>#N/A</v>
      </c>
      <c r="J140" s="6">
        <f t="array" ref="J140">INDEX(데이터_new!$D:$D, MATCH(1, (데이터_new!$A:$A=M포인트몰양식!I140)*(데이터_new!$B:$B=M포인트몰양식!J140), 0))</f>
        <v>0</v>
      </c>
    </row>
    <row r="141" spans="9:10">
      <c r="I141" s="6" t="e">
        <f>VLOOKUP(M포인트몰양식!$I141,데이터_new!$A:$D,3,FALSE)</f>
        <v>#N/A</v>
      </c>
      <c r="J141" s="6">
        <f t="array" ref="J141">INDEX(데이터_new!$D:$D, MATCH(1, (데이터_new!$A:$A=M포인트몰양식!I141)*(데이터_new!$B:$B=M포인트몰양식!J141), 0))</f>
        <v>0</v>
      </c>
    </row>
    <row r="142" spans="9:10">
      <c r="I142" s="6" t="e">
        <f>VLOOKUP(M포인트몰양식!$I142,데이터_new!$A:$D,3,FALSE)</f>
        <v>#N/A</v>
      </c>
      <c r="J142" s="6">
        <f t="array" ref="J142">INDEX(데이터_new!$D:$D, MATCH(1, (데이터_new!$A:$A=M포인트몰양식!I142)*(데이터_new!$B:$B=M포인트몰양식!J142), 0))</f>
        <v>0</v>
      </c>
    </row>
    <row r="143" spans="9:10">
      <c r="I143" s="6" t="e">
        <f>VLOOKUP(M포인트몰양식!$I143,데이터_new!$A:$D,3,FALSE)</f>
        <v>#N/A</v>
      </c>
      <c r="J143" s="6">
        <f t="array" ref="J143">INDEX(데이터_new!$D:$D, MATCH(1, (데이터_new!$A:$A=M포인트몰양식!I143)*(데이터_new!$B:$B=M포인트몰양식!J143), 0))</f>
        <v>0</v>
      </c>
    </row>
    <row r="144" spans="9:10">
      <c r="I144" s="6" t="e">
        <f>VLOOKUP(M포인트몰양식!$I144,데이터_new!$A:$D,3,FALSE)</f>
        <v>#N/A</v>
      </c>
      <c r="J144" s="6">
        <f t="array" ref="J144">INDEX(데이터_new!$D:$D, MATCH(1, (데이터_new!$A:$A=M포인트몰양식!I144)*(데이터_new!$B:$B=M포인트몰양식!J144), 0))</f>
        <v>0</v>
      </c>
    </row>
    <row r="145" spans="9:10">
      <c r="I145" s="6" t="e">
        <f>VLOOKUP(M포인트몰양식!$I145,데이터_new!$A:$D,3,FALSE)</f>
        <v>#N/A</v>
      </c>
      <c r="J145" s="6">
        <f t="array" ref="J145">INDEX(데이터_new!$D:$D, MATCH(1, (데이터_new!$A:$A=M포인트몰양식!I145)*(데이터_new!$B:$B=M포인트몰양식!J145), 0))</f>
        <v>0</v>
      </c>
    </row>
    <row r="146" spans="9:10">
      <c r="I146" s="6" t="e">
        <f>VLOOKUP(M포인트몰양식!$I146,데이터_new!$A:$D,3,FALSE)</f>
        <v>#N/A</v>
      </c>
      <c r="J146" s="6">
        <f t="array" ref="J146">INDEX(데이터_new!$D:$D, MATCH(1, (데이터_new!$A:$A=M포인트몰양식!I146)*(데이터_new!$B:$B=M포인트몰양식!J146), 0))</f>
        <v>0</v>
      </c>
    </row>
    <row r="147" spans="9:10">
      <c r="I147" s="6" t="e">
        <f>VLOOKUP(M포인트몰양식!$I147,데이터_new!$A:$D,3,FALSE)</f>
        <v>#N/A</v>
      </c>
      <c r="J147" s="6">
        <f t="array" ref="J147">INDEX(데이터_new!$D:$D, MATCH(1, (데이터_new!$A:$A=M포인트몰양식!I147)*(데이터_new!$B:$B=M포인트몰양식!J147), 0))</f>
        <v>0</v>
      </c>
    </row>
    <row r="148" spans="9:10">
      <c r="I148" s="6" t="e">
        <f>VLOOKUP(M포인트몰양식!$I148,데이터_new!$A:$D,3,FALSE)</f>
        <v>#N/A</v>
      </c>
      <c r="J148" s="6">
        <f t="array" ref="J148">INDEX(데이터_new!$D:$D, MATCH(1, (데이터_new!$A:$A=M포인트몰양식!I148)*(데이터_new!$B:$B=M포인트몰양식!J148), 0))</f>
        <v>0</v>
      </c>
    </row>
    <row r="149" spans="9:10">
      <c r="I149" s="6" t="e">
        <f>VLOOKUP(M포인트몰양식!$I149,데이터_new!$A:$D,3,FALSE)</f>
        <v>#N/A</v>
      </c>
      <c r="J149" s="6">
        <f t="array" ref="J149">INDEX(데이터_new!$D:$D, MATCH(1, (데이터_new!$A:$A=M포인트몰양식!I149)*(데이터_new!$B:$B=M포인트몰양식!J149), 0))</f>
        <v>0</v>
      </c>
    </row>
    <row r="150" spans="9:10">
      <c r="I150" s="6" t="e">
        <f>VLOOKUP(M포인트몰양식!$I150,데이터_new!$A:$D,3,FALSE)</f>
        <v>#N/A</v>
      </c>
      <c r="J150" s="6">
        <f t="array" ref="J150">INDEX(데이터_new!$D:$D, MATCH(1, (데이터_new!$A:$A=M포인트몰양식!I150)*(데이터_new!$B:$B=M포인트몰양식!J150), 0))</f>
        <v>0</v>
      </c>
    </row>
    <row r="151" spans="9:10">
      <c r="I151" s="6" t="e">
        <f>VLOOKUP(M포인트몰양식!$I151,데이터_new!$A:$D,3,FALSE)</f>
        <v>#N/A</v>
      </c>
      <c r="J151" s="6">
        <f t="array" ref="J151">INDEX(데이터_new!$D:$D, MATCH(1, (데이터_new!$A:$A=M포인트몰양식!I151)*(데이터_new!$B:$B=M포인트몰양식!J151), 0))</f>
        <v>0</v>
      </c>
    </row>
    <row r="152" spans="9:10">
      <c r="I152" s="6" t="e">
        <f>VLOOKUP(M포인트몰양식!$I152,데이터_new!$A:$D,3,FALSE)</f>
        <v>#N/A</v>
      </c>
      <c r="J152" s="6">
        <f t="array" ref="J152">INDEX(데이터_new!$D:$D, MATCH(1, (데이터_new!$A:$A=M포인트몰양식!I152)*(데이터_new!$B:$B=M포인트몰양식!J152), 0))</f>
        <v>0</v>
      </c>
    </row>
    <row r="153" spans="9:10">
      <c r="I153" s="6" t="e">
        <f>VLOOKUP(M포인트몰양식!$I153,데이터_new!$A:$D,3,FALSE)</f>
        <v>#N/A</v>
      </c>
      <c r="J153" s="6">
        <f t="array" ref="J153">INDEX(데이터_new!$D:$D, MATCH(1, (데이터_new!$A:$A=M포인트몰양식!I153)*(데이터_new!$B:$B=M포인트몰양식!J153), 0))</f>
        <v>0</v>
      </c>
    </row>
    <row r="154" spans="9:10">
      <c r="I154" s="6" t="e">
        <f>VLOOKUP(M포인트몰양식!$I154,데이터_new!$A:$D,3,FALSE)</f>
        <v>#N/A</v>
      </c>
      <c r="J154" s="6">
        <f t="array" ref="J154">INDEX(데이터_new!$D:$D, MATCH(1, (데이터_new!$A:$A=M포인트몰양식!I154)*(데이터_new!$B:$B=M포인트몰양식!J154), 0))</f>
        <v>0</v>
      </c>
    </row>
    <row r="155" spans="9:10">
      <c r="I155" s="6" t="e">
        <f>VLOOKUP(M포인트몰양식!$I155,데이터_new!$A:$D,3,FALSE)</f>
        <v>#N/A</v>
      </c>
      <c r="J155" s="6">
        <f t="array" ref="J155">INDEX(데이터_new!$D:$D, MATCH(1, (데이터_new!$A:$A=M포인트몰양식!I155)*(데이터_new!$B:$B=M포인트몰양식!J155), 0))</f>
        <v>0</v>
      </c>
    </row>
    <row r="156" spans="9:10">
      <c r="I156" s="6" t="e">
        <f>VLOOKUP(M포인트몰양식!$I156,데이터_new!$A:$D,3,FALSE)</f>
        <v>#N/A</v>
      </c>
      <c r="J156" s="6">
        <f t="array" ref="J156">INDEX(데이터_new!$D:$D, MATCH(1, (데이터_new!$A:$A=M포인트몰양식!I156)*(데이터_new!$B:$B=M포인트몰양식!J156), 0))</f>
        <v>0</v>
      </c>
    </row>
    <row r="157" spans="9:10">
      <c r="I157" s="6" t="e">
        <f>VLOOKUP(M포인트몰양식!$I157,데이터_new!$A:$D,3,FALSE)</f>
        <v>#N/A</v>
      </c>
      <c r="J157" s="6">
        <f t="array" ref="J157">INDEX(데이터_new!$D:$D, MATCH(1, (데이터_new!$A:$A=M포인트몰양식!I157)*(데이터_new!$B:$B=M포인트몰양식!J157), 0))</f>
        <v>0</v>
      </c>
    </row>
    <row r="158" spans="9:10">
      <c r="I158" s="6" t="e">
        <f>VLOOKUP(M포인트몰양식!$I158,데이터_new!$A:$D,3,FALSE)</f>
        <v>#N/A</v>
      </c>
      <c r="J158" s="6">
        <f t="array" ref="J158">INDEX(데이터_new!$D:$D, MATCH(1, (데이터_new!$A:$A=M포인트몰양식!I158)*(데이터_new!$B:$B=M포인트몰양식!J158), 0))</f>
        <v>0</v>
      </c>
    </row>
    <row r="159" spans="9:10">
      <c r="I159" s="6" t="e">
        <f>VLOOKUP(M포인트몰양식!$I159,데이터_new!$A:$D,3,FALSE)</f>
        <v>#N/A</v>
      </c>
      <c r="J159" s="6">
        <f t="array" ref="J159">INDEX(데이터_new!$D:$D, MATCH(1, (데이터_new!$A:$A=M포인트몰양식!I159)*(데이터_new!$B:$B=M포인트몰양식!J159), 0))</f>
        <v>0</v>
      </c>
    </row>
    <row r="160" spans="9:10">
      <c r="I160" s="6" t="e">
        <f>VLOOKUP(M포인트몰양식!$I160,데이터_new!$A:$D,3,FALSE)</f>
        <v>#N/A</v>
      </c>
      <c r="J160" s="6">
        <f t="array" ref="J160">INDEX(데이터_new!$D:$D, MATCH(1, (데이터_new!$A:$A=M포인트몰양식!I160)*(데이터_new!$B:$B=M포인트몰양식!J160), 0))</f>
        <v>0</v>
      </c>
    </row>
    <row r="161" spans="9:10">
      <c r="I161" s="6" t="e">
        <f>VLOOKUP(M포인트몰양식!$I161,데이터_new!$A:$D,3,FALSE)</f>
        <v>#N/A</v>
      </c>
      <c r="J161" s="6">
        <f t="array" ref="J161">INDEX(데이터_new!$D:$D, MATCH(1, (데이터_new!$A:$A=M포인트몰양식!I161)*(데이터_new!$B:$B=M포인트몰양식!J161), 0))</f>
        <v>0</v>
      </c>
    </row>
    <row r="162" spans="9:10">
      <c r="I162" s="6" t="e">
        <f>VLOOKUP(M포인트몰양식!$I162,데이터_new!$A:$D,3,FALSE)</f>
        <v>#N/A</v>
      </c>
      <c r="J162" s="6">
        <f t="array" ref="J162">INDEX(데이터_new!$D:$D, MATCH(1, (데이터_new!$A:$A=M포인트몰양식!I162)*(데이터_new!$B:$B=M포인트몰양식!J162), 0))</f>
        <v>0</v>
      </c>
    </row>
    <row r="163" spans="9:10">
      <c r="I163" s="6" t="e">
        <f>VLOOKUP(M포인트몰양식!$I163,데이터_new!$A:$D,3,FALSE)</f>
        <v>#N/A</v>
      </c>
      <c r="J163" s="6">
        <f t="array" ref="J163">INDEX(데이터_new!$D:$D, MATCH(1, (데이터_new!$A:$A=M포인트몰양식!I163)*(데이터_new!$B:$B=M포인트몰양식!J163), 0))</f>
        <v>0</v>
      </c>
    </row>
    <row r="164" spans="9:10">
      <c r="I164" s="6" t="e">
        <f>VLOOKUP(M포인트몰양식!$I164,데이터_new!$A:$D,3,FALSE)</f>
        <v>#N/A</v>
      </c>
      <c r="J164" s="6">
        <f t="array" ref="J164">INDEX(데이터_new!$D:$D, MATCH(1, (데이터_new!$A:$A=M포인트몰양식!I164)*(데이터_new!$B:$B=M포인트몰양식!J164), 0))</f>
        <v>0</v>
      </c>
    </row>
    <row r="165" spans="9:10">
      <c r="I165" s="6" t="e">
        <f>VLOOKUP(M포인트몰양식!$I165,데이터_new!$A:$D,3,FALSE)</f>
        <v>#N/A</v>
      </c>
      <c r="J165" s="6">
        <f t="array" ref="J165">INDEX(데이터_new!$D:$D, MATCH(1, (데이터_new!$A:$A=M포인트몰양식!I165)*(데이터_new!$B:$B=M포인트몰양식!J165), 0))</f>
        <v>0</v>
      </c>
    </row>
    <row r="166" spans="9:10">
      <c r="I166" s="6" t="e">
        <f>VLOOKUP(M포인트몰양식!$I166,데이터_new!$A:$D,3,FALSE)</f>
        <v>#N/A</v>
      </c>
      <c r="J166" s="6">
        <f t="array" ref="J166">INDEX(데이터_new!$D:$D, MATCH(1, (데이터_new!$A:$A=M포인트몰양식!I166)*(데이터_new!$B:$B=M포인트몰양식!J166), 0))</f>
        <v>0</v>
      </c>
    </row>
    <row r="167" spans="9:10">
      <c r="I167" s="6" t="e">
        <f>VLOOKUP(M포인트몰양식!$I167,데이터_new!$A:$D,3,FALSE)</f>
        <v>#N/A</v>
      </c>
      <c r="J167" s="6">
        <f t="array" ref="J167">INDEX(데이터_new!$D:$D, MATCH(1, (데이터_new!$A:$A=M포인트몰양식!I167)*(데이터_new!$B:$B=M포인트몰양식!J167), 0))</f>
        <v>0</v>
      </c>
    </row>
    <row r="168" spans="9:10">
      <c r="I168" s="6" t="e">
        <f>VLOOKUP(M포인트몰양식!$I168,데이터_new!$A:$D,3,FALSE)</f>
        <v>#N/A</v>
      </c>
      <c r="J168" s="6">
        <f t="array" ref="J168">INDEX(데이터_new!$D:$D, MATCH(1, (데이터_new!$A:$A=M포인트몰양식!I168)*(데이터_new!$B:$B=M포인트몰양식!J168), 0))</f>
        <v>0</v>
      </c>
    </row>
    <row r="169" spans="9:10">
      <c r="I169" s="6" t="e">
        <f>VLOOKUP(M포인트몰양식!$I169,데이터_new!$A:$D,3,FALSE)</f>
        <v>#N/A</v>
      </c>
      <c r="J169" s="6">
        <f t="array" ref="J169">INDEX(데이터_new!$D:$D, MATCH(1, (데이터_new!$A:$A=M포인트몰양식!I169)*(데이터_new!$B:$B=M포인트몰양식!J169), 0))</f>
        <v>0</v>
      </c>
    </row>
    <row r="170" spans="9:10">
      <c r="I170" s="6" t="e">
        <f>VLOOKUP(M포인트몰양식!$I170,데이터_new!$A:$D,3,FALSE)</f>
        <v>#N/A</v>
      </c>
      <c r="J170" s="6">
        <f t="array" ref="J170">INDEX(데이터_new!$D:$D, MATCH(1, (데이터_new!$A:$A=M포인트몰양식!I170)*(데이터_new!$B:$B=M포인트몰양식!J170), 0))</f>
        <v>0</v>
      </c>
    </row>
    <row r="171" spans="9:10">
      <c r="I171" s="6" t="e">
        <f>VLOOKUP(M포인트몰양식!$I171,데이터_new!$A:$D,3,FALSE)</f>
        <v>#N/A</v>
      </c>
      <c r="J171" s="6">
        <f t="array" ref="J171">INDEX(데이터_new!$D:$D, MATCH(1, (데이터_new!$A:$A=M포인트몰양식!I171)*(데이터_new!$B:$B=M포인트몰양식!J171), 0))</f>
        <v>0</v>
      </c>
    </row>
    <row r="172" spans="9:10">
      <c r="I172" s="6" t="e">
        <f>VLOOKUP(M포인트몰양식!$I172,데이터_new!$A:$D,3,FALSE)</f>
        <v>#N/A</v>
      </c>
      <c r="J172" s="6">
        <f t="array" ref="J172">INDEX(데이터_new!$D:$D, MATCH(1, (데이터_new!$A:$A=M포인트몰양식!I172)*(데이터_new!$B:$B=M포인트몰양식!J172), 0))</f>
        <v>0</v>
      </c>
    </row>
    <row r="173" spans="9:10">
      <c r="I173" s="6" t="e">
        <f>VLOOKUP(M포인트몰양식!$I173,데이터_new!$A:$D,3,FALSE)</f>
        <v>#N/A</v>
      </c>
      <c r="J173" s="6">
        <f t="array" ref="J173">INDEX(데이터_new!$D:$D, MATCH(1, (데이터_new!$A:$A=M포인트몰양식!I173)*(데이터_new!$B:$B=M포인트몰양식!J173), 0))</f>
        <v>0</v>
      </c>
    </row>
    <row r="174" spans="9:10">
      <c r="I174" s="6" t="e">
        <f>VLOOKUP(M포인트몰양식!$I174,데이터_new!$A:$D,3,FALSE)</f>
        <v>#N/A</v>
      </c>
      <c r="J174" s="6">
        <f t="array" ref="J174">INDEX(데이터_new!$D:$D, MATCH(1, (데이터_new!$A:$A=M포인트몰양식!I174)*(데이터_new!$B:$B=M포인트몰양식!J174), 0))</f>
        <v>0</v>
      </c>
    </row>
    <row r="175" spans="9:10">
      <c r="I175" s="6" t="e">
        <f>VLOOKUP(M포인트몰양식!$I175,데이터_new!$A:$D,3,FALSE)</f>
        <v>#N/A</v>
      </c>
      <c r="J175" s="6">
        <f t="array" ref="J175">INDEX(데이터_new!$D:$D, MATCH(1, (데이터_new!$A:$A=M포인트몰양식!I175)*(데이터_new!$B:$B=M포인트몰양식!J175), 0))</f>
        <v>0</v>
      </c>
    </row>
    <row r="176" spans="9:10">
      <c r="I176" s="6" t="e">
        <f>VLOOKUP(M포인트몰양식!$I176,데이터_new!$A:$D,3,FALSE)</f>
        <v>#N/A</v>
      </c>
      <c r="J176" s="6">
        <f t="array" ref="J176">INDEX(데이터_new!$D:$D, MATCH(1, (데이터_new!$A:$A=M포인트몰양식!I176)*(데이터_new!$B:$B=M포인트몰양식!J176), 0))</f>
        <v>0</v>
      </c>
    </row>
    <row r="177" spans="9:10">
      <c r="I177" s="6" t="e">
        <f>VLOOKUP(M포인트몰양식!$I177,데이터_new!$A:$D,3,FALSE)</f>
        <v>#N/A</v>
      </c>
      <c r="J177" s="6">
        <f t="array" ref="J177">INDEX(데이터_new!$D:$D, MATCH(1, (데이터_new!$A:$A=M포인트몰양식!I177)*(데이터_new!$B:$B=M포인트몰양식!J177), 0))</f>
        <v>0</v>
      </c>
    </row>
    <row r="178" spans="9:10">
      <c r="I178" s="6" t="e">
        <f>VLOOKUP(M포인트몰양식!$I178,데이터_new!$A:$D,3,FALSE)</f>
        <v>#N/A</v>
      </c>
      <c r="J178" s="6">
        <f t="array" ref="J178">INDEX(데이터_new!$D:$D, MATCH(1, (데이터_new!$A:$A=M포인트몰양식!I178)*(데이터_new!$B:$B=M포인트몰양식!J178), 0))</f>
        <v>0</v>
      </c>
    </row>
    <row r="179" spans="9:10">
      <c r="I179" s="6" t="e">
        <f>VLOOKUP(M포인트몰양식!$I179,데이터_new!$A:$D,3,FALSE)</f>
        <v>#N/A</v>
      </c>
      <c r="J179" s="6">
        <f t="array" ref="J179">INDEX(데이터_new!$D:$D, MATCH(1, (데이터_new!$A:$A=M포인트몰양식!I179)*(데이터_new!$B:$B=M포인트몰양식!J179), 0))</f>
        <v>0</v>
      </c>
    </row>
    <row r="180" spans="9:10">
      <c r="I180" s="6" t="e">
        <f>VLOOKUP(M포인트몰양식!$I180,데이터_new!$A:$D,3,FALSE)</f>
        <v>#N/A</v>
      </c>
      <c r="J180" s="6">
        <f t="array" ref="J180">INDEX(데이터_new!$D:$D, MATCH(1, (데이터_new!$A:$A=M포인트몰양식!I180)*(데이터_new!$B:$B=M포인트몰양식!J180), 0))</f>
        <v>0</v>
      </c>
    </row>
    <row r="181" spans="9:10">
      <c r="I181" s="6" t="e">
        <f>VLOOKUP(M포인트몰양식!$I181,데이터_new!$A:$D,3,FALSE)</f>
        <v>#N/A</v>
      </c>
      <c r="J181" s="6">
        <f t="array" ref="J181">INDEX(데이터_new!$D:$D, MATCH(1, (데이터_new!$A:$A=M포인트몰양식!I181)*(데이터_new!$B:$B=M포인트몰양식!J181), 0))</f>
        <v>0</v>
      </c>
    </row>
    <row r="182" spans="9:10">
      <c r="I182" s="6" t="e">
        <f>VLOOKUP(M포인트몰양식!$I182,데이터_new!$A:$D,3,FALSE)</f>
        <v>#N/A</v>
      </c>
      <c r="J182" s="6">
        <f t="array" ref="J182">INDEX(데이터_new!$D:$D, MATCH(1, (데이터_new!$A:$A=M포인트몰양식!I182)*(데이터_new!$B:$B=M포인트몰양식!J182), 0))</f>
        <v>0</v>
      </c>
    </row>
    <row r="183" spans="9:10">
      <c r="I183" s="6" t="e">
        <f>VLOOKUP(M포인트몰양식!$I183,데이터_new!$A:$D,3,FALSE)</f>
        <v>#N/A</v>
      </c>
      <c r="J183" s="6">
        <f t="array" ref="J183">INDEX(데이터_new!$D:$D, MATCH(1, (데이터_new!$A:$A=M포인트몰양식!I183)*(데이터_new!$B:$B=M포인트몰양식!J183), 0))</f>
        <v>0</v>
      </c>
    </row>
    <row r="184" spans="9:10">
      <c r="I184" s="6" t="e">
        <f>VLOOKUP(M포인트몰양식!$I184,데이터_new!$A:$D,3,FALSE)</f>
        <v>#N/A</v>
      </c>
      <c r="J184" s="6">
        <f t="array" ref="J184">INDEX(데이터_new!$D:$D, MATCH(1, (데이터_new!$A:$A=M포인트몰양식!I184)*(데이터_new!$B:$B=M포인트몰양식!J184), 0))</f>
        <v>0</v>
      </c>
    </row>
    <row r="185" spans="9:10">
      <c r="I185" s="6" t="e">
        <f>VLOOKUP(M포인트몰양식!$I185,데이터_new!$A:$D,3,FALSE)</f>
        <v>#N/A</v>
      </c>
      <c r="J185" s="6">
        <f t="array" ref="J185">INDEX(데이터_new!$D:$D, MATCH(1, (데이터_new!$A:$A=M포인트몰양식!I185)*(데이터_new!$B:$B=M포인트몰양식!J185), 0))</f>
        <v>0</v>
      </c>
    </row>
    <row r="186" spans="9:10">
      <c r="I186" s="6" t="e">
        <f>VLOOKUP(M포인트몰양식!$I186,데이터_new!$A:$D,3,FALSE)</f>
        <v>#N/A</v>
      </c>
      <c r="J186" s="6">
        <f t="array" ref="J186">INDEX(데이터_new!$D:$D, MATCH(1, (데이터_new!$A:$A=M포인트몰양식!I186)*(데이터_new!$B:$B=M포인트몰양식!J186), 0))</f>
        <v>0</v>
      </c>
    </row>
    <row r="187" spans="9:10">
      <c r="I187" s="6" t="e">
        <f>VLOOKUP(M포인트몰양식!$I187,데이터_new!$A:$D,3,FALSE)</f>
        <v>#N/A</v>
      </c>
      <c r="J187" s="6">
        <f t="array" ref="J187">INDEX(데이터_new!$D:$D, MATCH(1, (데이터_new!$A:$A=M포인트몰양식!I187)*(데이터_new!$B:$B=M포인트몰양식!J187), 0))</f>
        <v>0</v>
      </c>
    </row>
    <row r="188" spans="9:10">
      <c r="I188" s="6" t="e">
        <f>VLOOKUP(M포인트몰양식!$I188,데이터_new!$A:$D,3,FALSE)</f>
        <v>#N/A</v>
      </c>
      <c r="J188" s="6">
        <f t="array" ref="J188">INDEX(데이터_new!$D:$D, MATCH(1, (데이터_new!$A:$A=M포인트몰양식!I188)*(데이터_new!$B:$B=M포인트몰양식!J188), 0))</f>
        <v>0</v>
      </c>
    </row>
    <row r="189" spans="9:10">
      <c r="I189" s="6" t="e">
        <f>VLOOKUP(M포인트몰양식!$I189,데이터_new!$A:$D,3,FALSE)</f>
        <v>#N/A</v>
      </c>
      <c r="J189" s="6">
        <f t="array" ref="J189">INDEX(데이터_new!$D:$D, MATCH(1, (데이터_new!$A:$A=M포인트몰양식!I189)*(데이터_new!$B:$B=M포인트몰양식!J189), 0))</f>
        <v>0</v>
      </c>
    </row>
    <row r="190" spans="9:10">
      <c r="I190" s="6" t="e">
        <f>VLOOKUP(M포인트몰양식!$I190,데이터_new!$A:$D,3,FALSE)</f>
        <v>#N/A</v>
      </c>
      <c r="J190" s="6">
        <f t="array" ref="J190">INDEX(데이터_new!$D:$D, MATCH(1, (데이터_new!$A:$A=M포인트몰양식!I190)*(데이터_new!$B:$B=M포인트몰양식!J190), 0))</f>
        <v>0</v>
      </c>
    </row>
    <row r="191" spans="9:10">
      <c r="I191" s="6" t="e">
        <f>VLOOKUP(M포인트몰양식!$I191,데이터_new!$A:$D,3,FALSE)</f>
        <v>#N/A</v>
      </c>
      <c r="J191" s="6">
        <f t="array" ref="J191">INDEX(데이터_new!$D:$D, MATCH(1, (데이터_new!$A:$A=M포인트몰양식!I191)*(데이터_new!$B:$B=M포인트몰양식!J191), 0))</f>
        <v>0</v>
      </c>
    </row>
    <row r="192" spans="9:10">
      <c r="I192" s="6" t="e">
        <f>VLOOKUP(M포인트몰양식!$I192,데이터_new!$A:$D,3,FALSE)</f>
        <v>#N/A</v>
      </c>
      <c r="J192" s="6">
        <f t="array" ref="J192">INDEX(데이터_new!$D:$D, MATCH(1, (데이터_new!$A:$A=M포인트몰양식!I192)*(데이터_new!$B:$B=M포인트몰양식!J192), 0))</f>
        <v>0</v>
      </c>
    </row>
    <row r="193" spans="9:10">
      <c r="I193" s="6" t="e">
        <f>VLOOKUP(M포인트몰양식!$I193,데이터_new!$A:$D,3,FALSE)</f>
        <v>#N/A</v>
      </c>
      <c r="J193" s="6">
        <f t="array" ref="J193">INDEX(데이터_new!$D:$D, MATCH(1, (데이터_new!$A:$A=M포인트몰양식!I193)*(데이터_new!$B:$B=M포인트몰양식!J193), 0))</f>
        <v>0</v>
      </c>
    </row>
    <row r="194" spans="9:10">
      <c r="I194" s="6" t="e">
        <f>VLOOKUP(M포인트몰양식!$I194,데이터_new!$A:$D,3,FALSE)</f>
        <v>#N/A</v>
      </c>
      <c r="J194" s="6">
        <f t="array" ref="J194">INDEX(데이터_new!$D:$D, MATCH(1, (데이터_new!$A:$A=M포인트몰양식!I194)*(데이터_new!$B:$B=M포인트몰양식!J194), 0))</f>
        <v>0</v>
      </c>
    </row>
    <row r="195" spans="9:10">
      <c r="I195" s="6" t="e">
        <f>VLOOKUP(M포인트몰양식!$I195,데이터_new!$A:$D,3,FALSE)</f>
        <v>#N/A</v>
      </c>
      <c r="J195" s="6">
        <f t="array" ref="J195">INDEX(데이터_new!$D:$D, MATCH(1, (데이터_new!$A:$A=M포인트몰양식!I195)*(데이터_new!$B:$B=M포인트몰양식!J195), 0))</f>
        <v>0</v>
      </c>
    </row>
    <row r="196" spans="9:10">
      <c r="I196" s="6" t="e">
        <f>VLOOKUP(M포인트몰양식!$I196,데이터_new!$A:$D,3,FALSE)</f>
        <v>#N/A</v>
      </c>
      <c r="J196" s="6">
        <f t="array" ref="J196">INDEX(데이터_new!$D:$D, MATCH(1, (데이터_new!$A:$A=M포인트몰양식!I196)*(데이터_new!$B:$B=M포인트몰양식!J196), 0))</f>
        <v>0</v>
      </c>
    </row>
    <row r="197" spans="9:10">
      <c r="I197" s="6" t="e">
        <f>VLOOKUP(M포인트몰양식!$I197,데이터_new!$A:$D,3,FALSE)</f>
        <v>#N/A</v>
      </c>
      <c r="J197" s="6">
        <f t="array" ref="J197">INDEX(데이터_new!$D:$D, MATCH(1, (데이터_new!$A:$A=M포인트몰양식!I197)*(데이터_new!$B:$B=M포인트몰양식!J197), 0))</f>
        <v>0</v>
      </c>
    </row>
    <row r="198" spans="9:10">
      <c r="I198" s="6" t="e">
        <f>VLOOKUP(M포인트몰양식!$I198,데이터_new!$A:$D,3,FALSE)</f>
        <v>#N/A</v>
      </c>
      <c r="J198" s="6">
        <f t="array" ref="J198">INDEX(데이터_new!$D:$D, MATCH(1, (데이터_new!$A:$A=M포인트몰양식!I198)*(데이터_new!$B:$B=M포인트몰양식!J198), 0))</f>
        <v>0</v>
      </c>
    </row>
    <row r="199" spans="9:10">
      <c r="I199" s="6" t="e">
        <f>VLOOKUP(M포인트몰양식!$I199,데이터_new!$A:$D,3,FALSE)</f>
        <v>#N/A</v>
      </c>
      <c r="J199" s="6">
        <f t="array" ref="J199">INDEX(데이터_new!$D:$D, MATCH(1, (데이터_new!$A:$A=M포인트몰양식!I199)*(데이터_new!$B:$B=M포인트몰양식!J199), 0))</f>
        <v>0</v>
      </c>
    </row>
    <row r="200" spans="9:10">
      <c r="I200" s="6" t="e">
        <f>VLOOKUP(M포인트몰양식!$I200,데이터_new!$A:$D,3,FALSE)</f>
        <v>#N/A</v>
      </c>
      <c r="J200" s="6">
        <f t="array" ref="J200">INDEX(데이터_new!$D:$D, MATCH(1, (데이터_new!$A:$A=M포인트몰양식!I200)*(데이터_new!$B:$B=M포인트몰양식!J200), 0))</f>
        <v>0</v>
      </c>
    </row>
    <row r="201" spans="9:10">
      <c r="I201" s="6" t="e">
        <f>VLOOKUP(M포인트몰양식!$I201,데이터_new!$A:$D,3,FALSE)</f>
        <v>#N/A</v>
      </c>
      <c r="J201" s="6">
        <f t="array" ref="J201">INDEX(데이터_new!$D:$D, MATCH(1, (데이터_new!$A:$A=M포인트몰양식!I201)*(데이터_new!$B:$B=M포인트몰양식!J201), 0))</f>
        <v>0</v>
      </c>
    </row>
    <row r="202" spans="9:10">
      <c r="I202" s="6" t="e">
        <f>VLOOKUP(M포인트몰양식!$I202,데이터_new!$A:$D,3,FALSE)</f>
        <v>#N/A</v>
      </c>
      <c r="J202" s="6">
        <f t="array" ref="J202">INDEX(데이터_new!$D:$D, MATCH(1, (데이터_new!$A:$A=M포인트몰양식!I202)*(데이터_new!$B:$B=M포인트몰양식!J202), 0))</f>
        <v>0</v>
      </c>
    </row>
    <row r="203" spans="9:10">
      <c r="I203" s="6" t="e">
        <f>VLOOKUP(M포인트몰양식!$I203,데이터_new!$A:$D,3,FALSE)</f>
        <v>#N/A</v>
      </c>
      <c r="J203" s="6">
        <f t="array" ref="J203">INDEX(데이터_new!$D:$D, MATCH(1, (데이터_new!$A:$A=M포인트몰양식!I203)*(데이터_new!$B:$B=M포인트몰양식!J203), 0))</f>
        <v>0</v>
      </c>
    </row>
    <row r="204" spans="9:10">
      <c r="I204" s="6" t="e">
        <f>VLOOKUP(M포인트몰양식!$I204,데이터_new!$A:$D,3,FALSE)</f>
        <v>#N/A</v>
      </c>
      <c r="J204" s="6">
        <f t="array" ref="J204">INDEX(데이터_new!$D:$D, MATCH(1, (데이터_new!$A:$A=M포인트몰양식!I204)*(데이터_new!$B:$B=M포인트몰양식!J204), 0))</f>
        <v>0</v>
      </c>
    </row>
    <row r="205" spans="9:10">
      <c r="I205" s="6" t="e">
        <f>VLOOKUP(M포인트몰양식!$I205,데이터_new!$A:$D,3,FALSE)</f>
        <v>#N/A</v>
      </c>
      <c r="J205" s="6">
        <f t="array" ref="J205">INDEX(데이터_new!$D:$D, MATCH(1, (데이터_new!$A:$A=M포인트몰양식!I205)*(데이터_new!$B:$B=M포인트몰양식!J205), 0))</f>
        <v>0</v>
      </c>
    </row>
    <row r="206" spans="9:10">
      <c r="I206" s="6" t="e">
        <f>VLOOKUP(M포인트몰양식!$I206,데이터_new!$A:$D,3,FALSE)</f>
        <v>#N/A</v>
      </c>
      <c r="J206" s="6">
        <f t="array" ref="J206">INDEX(데이터_new!$D:$D, MATCH(1, (데이터_new!$A:$A=M포인트몰양식!I206)*(데이터_new!$B:$B=M포인트몰양식!J206), 0))</f>
        <v>0</v>
      </c>
    </row>
    <row r="207" spans="9:10">
      <c r="I207" s="6" t="e">
        <f>VLOOKUP(M포인트몰양식!$I207,데이터_new!$A:$D,3,FALSE)</f>
        <v>#N/A</v>
      </c>
      <c r="J207" s="6">
        <f t="array" ref="J207">INDEX(데이터_new!$D:$D, MATCH(1, (데이터_new!$A:$A=M포인트몰양식!I207)*(데이터_new!$B:$B=M포인트몰양식!J207), 0))</f>
        <v>0</v>
      </c>
    </row>
    <row r="208" spans="9:10">
      <c r="I208" s="6" t="e">
        <f>VLOOKUP(M포인트몰양식!$I208,데이터_new!$A:$D,3,FALSE)</f>
        <v>#N/A</v>
      </c>
      <c r="J208" s="6">
        <f t="array" ref="J208">INDEX(데이터_new!$D:$D, MATCH(1, (데이터_new!$A:$A=M포인트몰양식!I208)*(데이터_new!$B:$B=M포인트몰양식!J208), 0))</f>
        <v>0</v>
      </c>
    </row>
    <row r="209" spans="9:10">
      <c r="I209" s="6" t="e">
        <f>VLOOKUP(M포인트몰양식!$I209,데이터_new!$A:$D,3,FALSE)</f>
        <v>#N/A</v>
      </c>
      <c r="J209" s="6">
        <f t="array" ref="J209">INDEX(데이터_new!$D:$D, MATCH(1, (데이터_new!$A:$A=M포인트몰양식!I209)*(데이터_new!$B:$B=M포인트몰양식!J209), 0))</f>
        <v>0</v>
      </c>
    </row>
    <row r="210" spans="9:10">
      <c r="I210" s="6" t="e">
        <f>VLOOKUP(M포인트몰양식!$I210,데이터_new!$A:$D,3,FALSE)</f>
        <v>#N/A</v>
      </c>
      <c r="J210" s="6">
        <f t="array" ref="J210">INDEX(데이터_new!$D:$D, MATCH(1, (데이터_new!$A:$A=M포인트몰양식!I210)*(데이터_new!$B:$B=M포인트몰양식!J210), 0))</f>
        <v>0</v>
      </c>
    </row>
    <row r="211" spans="9:10">
      <c r="I211" s="6" t="e">
        <f>VLOOKUP(M포인트몰양식!$I211,데이터_new!$A:$D,3,FALSE)</f>
        <v>#N/A</v>
      </c>
      <c r="J211" s="6">
        <f t="array" ref="J211">INDEX(데이터_new!$D:$D, MATCH(1, (데이터_new!$A:$A=M포인트몰양식!I211)*(데이터_new!$B:$B=M포인트몰양식!J211), 0))</f>
        <v>0</v>
      </c>
    </row>
    <row r="212" spans="9:10">
      <c r="I212" s="6" t="e">
        <f>VLOOKUP(M포인트몰양식!$I212,데이터_new!$A:$D,3,FALSE)</f>
        <v>#N/A</v>
      </c>
      <c r="J212" s="6">
        <f t="array" ref="J212">INDEX(데이터_new!$D:$D, MATCH(1, (데이터_new!$A:$A=M포인트몰양식!I212)*(데이터_new!$B:$B=M포인트몰양식!J212), 0))</f>
        <v>0</v>
      </c>
    </row>
    <row r="213" spans="9:10">
      <c r="I213" s="6" t="e">
        <f>VLOOKUP(M포인트몰양식!$I213,데이터_new!$A:$D,3,FALSE)</f>
        <v>#N/A</v>
      </c>
      <c r="J213" s="6">
        <f t="array" ref="J213">INDEX(데이터_new!$D:$D, MATCH(1, (데이터_new!$A:$A=M포인트몰양식!I213)*(데이터_new!$B:$B=M포인트몰양식!J213), 0))</f>
        <v>0</v>
      </c>
    </row>
    <row r="214" spans="9:10">
      <c r="I214" s="6" t="e">
        <f>VLOOKUP(M포인트몰양식!$I214,데이터_new!$A:$D,3,FALSE)</f>
        <v>#N/A</v>
      </c>
      <c r="J214" s="6">
        <f t="array" ref="J214">INDEX(데이터_new!$D:$D, MATCH(1, (데이터_new!$A:$A=M포인트몰양식!I214)*(데이터_new!$B:$B=M포인트몰양식!J214), 0))</f>
        <v>0</v>
      </c>
    </row>
    <row r="215" spans="9:10">
      <c r="I215" s="6" t="e">
        <f>VLOOKUP(M포인트몰양식!$I215,데이터_new!$A:$D,3,FALSE)</f>
        <v>#N/A</v>
      </c>
      <c r="J215" s="6">
        <f t="array" ref="J215">INDEX(데이터_new!$D:$D, MATCH(1, (데이터_new!$A:$A=M포인트몰양식!I215)*(데이터_new!$B:$B=M포인트몰양식!J215), 0))</f>
        <v>0</v>
      </c>
    </row>
    <row r="216" spans="9:10">
      <c r="I216" s="6" t="e">
        <f>VLOOKUP(M포인트몰양식!$I216,데이터_new!$A:$D,3,FALSE)</f>
        <v>#N/A</v>
      </c>
      <c r="J216" s="6">
        <f t="array" ref="J216">INDEX(데이터_new!$D:$D, MATCH(1, (데이터_new!$A:$A=M포인트몰양식!I216)*(데이터_new!$B:$B=M포인트몰양식!J216), 0))</f>
        <v>0</v>
      </c>
    </row>
    <row r="217" spans="9:10">
      <c r="I217" s="6" t="e">
        <f>VLOOKUP(M포인트몰양식!$I217,데이터_new!$A:$D,3,FALSE)</f>
        <v>#N/A</v>
      </c>
      <c r="J217" s="6">
        <f t="array" ref="J217">INDEX(데이터_new!$D:$D, MATCH(1, (데이터_new!$A:$A=M포인트몰양식!I217)*(데이터_new!$B:$B=M포인트몰양식!J217), 0))</f>
        <v>0</v>
      </c>
    </row>
    <row r="218" spans="9:10">
      <c r="I218" s="6" t="e">
        <f>VLOOKUP(M포인트몰양식!$I218,데이터_new!$A:$D,3,FALSE)</f>
        <v>#N/A</v>
      </c>
      <c r="J218" s="6">
        <f t="array" ref="J218">INDEX(데이터_new!$D:$D, MATCH(1, (데이터_new!$A:$A=M포인트몰양식!I218)*(데이터_new!$B:$B=M포인트몰양식!J218), 0))</f>
        <v>0</v>
      </c>
    </row>
    <row r="219" spans="9:10">
      <c r="I219" s="6" t="e">
        <f>VLOOKUP(M포인트몰양식!$I219,데이터_new!$A:$D,3,FALSE)</f>
        <v>#N/A</v>
      </c>
      <c r="J219" s="6">
        <f t="array" ref="J219">INDEX(데이터_new!$D:$D, MATCH(1, (데이터_new!$A:$A=M포인트몰양식!I219)*(데이터_new!$B:$B=M포인트몰양식!J219), 0))</f>
        <v>0</v>
      </c>
    </row>
    <row r="220" spans="9:10">
      <c r="I220" s="6" t="e">
        <f>VLOOKUP(M포인트몰양식!$I220,데이터_new!$A:$D,3,FALSE)</f>
        <v>#N/A</v>
      </c>
      <c r="J220" s="6">
        <f t="array" ref="J220">INDEX(데이터_new!$D:$D, MATCH(1, (데이터_new!$A:$A=M포인트몰양식!I220)*(데이터_new!$B:$B=M포인트몰양식!J220), 0))</f>
        <v>0</v>
      </c>
    </row>
    <row r="221" spans="9:10">
      <c r="I221" s="6" t="e">
        <f>VLOOKUP(M포인트몰양식!$I221,데이터_new!$A:$D,3,FALSE)</f>
        <v>#N/A</v>
      </c>
      <c r="J221" s="6">
        <f t="array" ref="J221">INDEX(데이터_new!$D:$D, MATCH(1, (데이터_new!$A:$A=M포인트몰양식!I221)*(데이터_new!$B:$B=M포인트몰양식!J221), 0))</f>
        <v>0</v>
      </c>
    </row>
    <row r="222" spans="9:10">
      <c r="I222" s="6" t="e">
        <f>VLOOKUP(M포인트몰양식!$I222,데이터_new!$A:$D,3,FALSE)</f>
        <v>#N/A</v>
      </c>
      <c r="J222" s="6">
        <f t="array" ref="J222">INDEX(데이터_new!$D:$D, MATCH(1, (데이터_new!$A:$A=M포인트몰양식!I222)*(데이터_new!$B:$B=M포인트몰양식!J222), 0))</f>
        <v>0</v>
      </c>
    </row>
    <row r="223" spans="9:10">
      <c r="I223" s="6" t="e">
        <f>VLOOKUP(M포인트몰양식!$I223,데이터_new!$A:$D,3,FALSE)</f>
        <v>#N/A</v>
      </c>
      <c r="J223" s="6">
        <f t="array" ref="J223">INDEX(데이터_new!$D:$D, MATCH(1, (데이터_new!$A:$A=M포인트몰양식!I223)*(데이터_new!$B:$B=M포인트몰양식!J223), 0))</f>
        <v>0</v>
      </c>
    </row>
    <row r="224" spans="9:10">
      <c r="I224" s="6" t="e">
        <f>VLOOKUP(M포인트몰양식!$I224,데이터_new!$A:$D,3,FALSE)</f>
        <v>#N/A</v>
      </c>
      <c r="J224" s="6">
        <f t="array" ref="J224">INDEX(데이터_new!$D:$D, MATCH(1, (데이터_new!$A:$A=M포인트몰양식!I224)*(데이터_new!$B:$B=M포인트몰양식!J224), 0))</f>
        <v>0</v>
      </c>
    </row>
    <row r="225" spans="9:10">
      <c r="I225" s="6" t="e">
        <f>VLOOKUP(M포인트몰양식!$I225,데이터_new!$A:$D,3,FALSE)</f>
        <v>#N/A</v>
      </c>
      <c r="J225" s="6">
        <f t="array" ref="J225">INDEX(데이터_new!$D:$D, MATCH(1, (데이터_new!$A:$A=M포인트몰양식!I225)*(데이터_new!$B:$B=M포인트몰양식!J225), 0))</f>
        <v>0</v>
      </c>
    </row>
    <row r="226" spans="9:10">
      <c r="I226" s="6" t="e">
        <f>VLOOKUP(M포인트몰양식!$I226,데이터_new!$A:$D,3,FALSE)</f>
        <v>#N/A</v>
      </c>
      <c r="J226" s="6">
        <f t="array" ref="J226">INDEX(데이터_new!$D:$D, MATCH(1, (데이터_new!$A:$A=M포인트몰양식!I226)*(데이터_new!$B:$B=M포인트몰양식!J226), 0))</f>
        <v>0</v>
      </c>
    </row>
    <row r="227" spans="9:10">
      <c r="I227" s="6" t="e">
        <f>VLOOKUP(M포인트몰양식!$I227,데이터_new!$A:$D,3,FALSE)</f>
        <v>#N/A</v>
      </c>
      <c r="J227" s="6">
        <f t="array" ref="J227">INDEX(데이터_new!$D:$D, MATCH(1, (데이터_new!$A:$A=M포인트몰양식!I227)*(데이터_new!$B:$B=M포인트몰양식!J227), 0))</f>
        <v>0</v>
      </c>
    </row>
    <row r="228" spans="9:10">
      <c r="I228" s="6" t="e">
        <f>VLOOKUP(M포인트몰양식!$I228,데이터_new!$A:$D,3,FALSE)</f>
        <v>#N/A</v>
      </c>
      <c r="J228" s="6">
        <f t="array" ref="J228">INDEX(데이터_new!$D:$D, MATCH(1, (데이터_new!$A:$A=M포인트몰양식!I228)*(데이터_new!$B:$B=M포인트몰양식!J228), 0))</f>
        <v>0</v>
      </c>
    </row>
    <row r="229" spans="9:10">
      <c r="I229" s="6" t="e">
        <f>VLOOKUP(M포인트몰양식!$I229,데이터_new!$A:$D,3,FALSE)</f>
        <v>#N/A</v>
      </c>
      <c r="J229" s="6">
        <f t="array" ref="J229">INDEX(데이터_new!$D:$D, MATCH(1, (데이터_new!$A:$A=M포인트몰양식!I229)*(데이터_new!$B:$B=M포인트몰양식!J229), 0))</f>
        <v>0</v>
      </c>
    </row>
    <row r="230" spans="9:10">
      <c r="I230" s="6" t="e">
        <f>VLOOKUP(M포인트몰양식!$I230,데이터_new!$A:$D,3,FALSE)</f>
        <v>#N/A</v>
      </c>
      <c r="J230" s="6">
        <f t="array" ref="J230">INDEX(데이터_new!$D:$D, MATCH(1, (데이터_new!$A:$A=M포인트몰양식!I230)*(데이터_new!$B:$B=M포인트몰양식!J230), 0))</f>
        <v>0</v>
      </c>
    </row>
    <row r="231" spans="9:10">
      <c r="I231" s="6" t="e">
        <f>VLOOKUP(M포인트몰양식!$I231,데이터_new!$A:$D,3,FALSE)</f>
        <v>#N/A</v>
      </c>
      <c r="J231" s="6">
        <f t="array" ref="J231">INDEX(데이터_new!$D:$D, MATCH(1, (데이터_new!$A:$A=M포인트몰양식!I231)*(데이터_new!$B:$B=M포인트몰양식!J231), 0))</f>
        <v>0</v>
      </c>
    </row>
    <row r="232" spans="9:10">
      <c r="I232" s="6" t="e">
        <f>VLOOKUP(M포인트몰양식!$I232,데이터_new!$A:$D,3,FALSE)</f>
        <v>#N/A</v>
      </c>
      <c r="J232" s="6">
        <f t="array" ref="J232">INDEX(데이터_new!$D:$D, MATCH(1, (데이터_new!$A:$A=M포인트몰양식!I232)*(데이터_new!$B:$B=M포인트몰양식!J232), 0))</f>
        <v>0</v>
      </c>
    </row>
    <row r="233" spans="9:10">
      <c r="I233" s="6" t="e">
        <f>VLOOKUP(M포인트몰양식!$I233,데이터_new!$A:$D,3,FALSE)</f>
        <v>#N/A</v>
      </c>
      <c r="J233" s="6">
        <f t="array" ref="J233">INDEX(데이터_new!$D:$D, MATCH(1, (데이터_new!$A:$A=M포인트몰양식!I233)*(데이터_new!$B:$B=M포인트몰양식!J233), 0))</f>
        <v>0</v>
      </c>
    </row>
    <row r="234" spans="9:10">
      <c r="I234" s="6" t="e">
        <f>VLOOKUP(M포인트몰양식!$I234,데이터_new!$A:$D,3,FALSE)</f>
        <v>#N/A</v>
      </c>
      <c r="J234" s="6">
        <f t="array" ref="J234">INDEX(데이터_new!$D:$D, MATCH(1, (데이터_new!$A:$A=M포인트몰양식!I234)*(데이터_new!$B:$B=M포인트몰양식!J234), 0))</f>
        <v>0</v>
      </c>
    </row>
    <row r="235" spans="9:10">
      <c r="I235" s="6" t="e">
        <f>VLOOKUP(M포인트몰양식!$I235,데이터_new!$A:$D,3,FALSE)</f>
        <v>#N/A</v>
      </c>
      <c r="J235" s="6">
        <f t="array" ref="J235">INDEX(데이터_new!$D:$D, MATCH(1, (데이터_new!$A:$A=M포인트몰양식!I235)*(데이터_new!$B:$B=M포인트몰양식!J235), 0))</f>
        <v>0</v>
      </c>
    </row>
    <row r="236" spans="9:10">
      <c r="I236" s="6" t="e">
        <f>VLOOKUP(M포인트몰양식!$I236,데이터_new!$A:$D,3,FALSE)</f>
        <v>#N/A</v>
      </c>
      <c r="J236" s="6">
        <f t="array" ref="J236">INDEX(데이터_new!$D:$D, MATCH(1, (데이터_new!$A:$A=M포인트몰양식!I236)*(데이터_new!$B:$B=M포인트몰양식!J236), 0))</f>
        <v>0</v>
      </c>
    </row>
    <row r="237" spans="9:10">
      <c r="I237" s="6" t="e">
        <f>VLOOKUP(M포인트몰양식!$I237,데이터_new!$A:$D,3,FALSE)</f>
        <v>#N/A</v>
      </c>
      <c r="J237" s="6">
        <f t="array" ref="J237">INDEX(데이터_new!$D:$D, MATCH(1, (데이터_new!$A:$A=M포인트몰양식!I237)*(데이터_new!$B:$B=M포인트몰양식!J237), 0))</f>
        <v>0</v>
      </c>
    </row>
    <row r="238" spans="9:10">
      <c r="I238" s="6" t="e">
        <f>VLOOKUP(M포인트몰양식!$I238,데이터_new!$A:$D,3,FALSE)</f>
        <v>#N/A</v>
      </c>
      <c r="J238" s="6">
        <f t="array" ref="J238">INDEX(데이터_new!$D:$D, MATCH(1, (데이터_new!$A:$A=M포인트몰양식!I238)*(데이터_new!$B:$B=M포인트몰양식!J238), 0))</f>
        <v>0</v>
      </c>
    </row>
    <row r="239" spans="9:10">
      <c r="I239" s="6" t="e">
        <f>VLOOKUP(M포인트몰양식!$I239,데이터_new!$A:$D,3,FALSE)</f>
        <v>#N/A</v>
      </c>
      <c r="J239" s="6">
        <f t="array" ref="J239">INDEX(데이터_new!$D:$D, MATCH(1, (데이터_new!$A:$A=M포인트몰양식!I239)*(데이터_new!$B:$B=M포인트몰양식!J239), 0))</f>
        <v>0</v>
      </c>
    </row>
    <row r="240" spans="9:10">
      <c r="I240" s="6" t="e">
        <f>VLOOKUP(M포인트몰양식!$I240,데이터_new!$A:$D,3,FALSE)</f>
        <v>#N/A</v>
      </c>
      <c r="J240" s="6">
        <f t="array" ref="J240">INDEX(데이터_new!$D:$D, MATCH(1, (데이터_new!$A:$A=M포인트몰양식!I240)*(데이터_new!$B:$B=M포인트몰양식!J240), 0))</f>
        <v>0</v>
      </c>
    </row>
    <row r="241" spans="9:10">
      <c r="I241" s="6" t="e">
        <f>VLOOKUP(M포인트몰양식!$I241,데이터_new!$A:$D,3,FALSE)</f>
        <v>#N/A</v>
      </c>
      <c r="J241" s="6">
        <f t="array" ref="J241">INDEX(데이터_new!$D:$D, MATCH(1, (데이터_new!$A:$A=M포인트몰양식!I241)*(데이터_new!$B:$B=M포인트몰양식!J241), 0))</f>
        <v>0</v>
      </c>
    </row>
    <row r="242" spans="9:10">
      <c r="I242" s="6" t="e">
        <f>VLOOKUP(M포인트몰양식!$I242,데이터_new!$A:$D,3,FALSE)</f>
        <v>#N/A</v>
      </c>
      <c r="J242" s="6">
        <f t="array" ref="J242">INDEX(데이터_new!$D:$D, MATCH(1, (데이터_new!$A:$A=M포인트몰양식!I242)*(데이터_new!$B:$B=M포인트몰양식!J242), 0))</f>
        <v>0</v>
      </c>
    </row>
    <row r="243" spans="9:10">
      <c r="I243" s="6" t="e">
        <f>VLOOKUP(M포인트몰양식!$I243,데이터_new!$A:$D,3,FALSE)</f>
        <v>#N/A</v>
      </c>
      <c r="J243" s="6">
        <f t="array" ref="J243">INDEX(데이터_new!$D:$D, MATCH(1, (데이터_new!$A:$A=M포인트몰양식!I243)*(데이터_new!$B:$B=M포인트몰양식!J243), 0))</f>
        <v>0</v>
      </c>
    </row>
    <row r="244" spans="9:10">
      <c r="I244" s="6" t="e">
        <f>VLOOKUP(M포인트몰양식!$I244,데이터_new!$A:$D,3,FALSE)</f>
        <v>#N/A</v>
      </c>
      <c r="J244" s="6">
        <f t="array" ref="J244">INDEX(데이터_new!$D:$D, MATCH(1, (데이터_new!$A:$A=M포인트몰양식!I244)*(데이터_new!$B:$B=M포인트몰양식!J244), 0))</f>
        <v>0</v>
      </c>
    </row>
    <row r="245" spans="9:10">
      <c r="I245" s="6" t="e">
        <f>VLOOKUP(M포인트몰양식!$I245,데이터_new!$A:$D,3,FALSE)</f>
        <v>#N/A</v>
      </c>
      <c r="J245" s="6">
        <f t="array" ref="J245">INDEX(데이터_new!$D:$D, MATCH(1, (데이터_new!$A:$A=M포인트몰양식!I245)*(데이터_new!$B:$B=M포인트몰양식!J245), 0))</f>
        <v>0</v>
      </c>
    </row>
    <row r="246" spans="9:10">
      <c r="I246" s="6" t="e">
        <f>VLOOKUP(M포인트몰양식!$I246,데이터_new!$A:$D,3,FALSE)</f>
        <v>#N/A</v>
      </c>
      <c r="J246" s="6">
        <f t="array" ref="J246">INDEX(데이터_new!$D:$D, MATCH(1, (데이터_new!$A:$A=M포인트몰양식!I246)*(데이터_new!$B:$B=M포인트몰양식!J246), 0))</f>
        <v>0</v>
      </c>
    </row>
    <row r="247" spans="9:10">
      <c r="I247" s="6" t="e">
        <f>VLOOKUP(M포인트몰양식!$I247,데이터_new!$A:$D,3,FALSE)</f>
        <v>#N/A</v>
      </c>
      <c r="J247" s="6">
        <f t="array" ref="J247">INDEX(데이터_new!$D:$D, MATCH(1, (데이터_new!$A:$A=M포인트몰양식!I247)*(데이터_new!$B:$B=M포인트몰양식!J247), 0))</f>
        <v>0</v>
      </c>
    </row>
    <row r="248" spans="9:10">
      <c r="I248" s="6" t="e">
        <f>VLOOKUP(M포인트몰양식!$I248,데이터_new!$A:$D,3,FALSE)</f>
        <v>#N/A</v>
      </c>
      <c r="J248" s="6">
        <f t="array" ref="J248">INDEX(데이터_new!$D:$D, MATCH(1, (데이터_new!$A:$A=M포인트몰양식!I248)*(데이터_new!$B:$B=M포인트몰양식!J248), 0))</f>
        <v>0</v>
      </c>
    </row>
    <row r="249" spans="9:10">
      <c r="I249" s="6" t="e">
        <f>VLOOKUP(M포인트몰양식!$I249,데이터_new!$A:$D,3,FALSE)</f>
        <v>#N/A</v>
      </c>
      <c r="J249" s="6">
        <f t="array" ref="J249">INDEX(데이터_new!$D:$D, MATCH(1, (데이터_new!$A:$A=M포인트몰양식!I249)*(데이터_new!$B:$B=M포인트몰양식!J249), 0))</f>
        <v>0</v>
      </c>
    </row>
    <row r="250" spans="9:10">
      <c r="I250" s="6" t="e">
        <f>VLOOKUP(M포인트몰양식!$I250,데이터_new!$A:$D,3,FALSE)</f>
        <v>#N/A</v>
      </c>
      <c r="J250" s="6">
        <f t="array" ref="J250">INDEX(데이터_new!$D:$D, MATCH(1, (데이터_new!$A:$A=M포인트몰양식!I250)*(데이터_new!$B:$B=M포인트몰양식!J250), 0))</f>
        <v>0</v>
      </c>
    </row>
    <row r="251" spans="9:10">
      <c r="I251" s="6" t="e">
        <f>VLOOKUP(M포인트몰양식!$I251,데이터_new!$A:$D,3,FALSE)</f>
        <v>#N/A</v>
      </c>
      <c r="J251" s="6">
        <f t="array" ref="J251">INDEX(데이터_new!$D:$D, MATCH(1, (데이터_new!$A:$A=M포인트몰양식!I251)*(데이터_new!$B:$B=M포인트몰양식!J251), 0))</f>
        <v>0</v>
      </c>
    </row>
    <row r="252" spans="9:10">
      <c r="I252" s="6" t="e">
        <f>VLOOKUP(M포인트몰양식!$I252,데이터_new!$A:$D,3,FALSE)</f>
        <v>#N/A</v>
      </c>
      <c r="J252" s="6">
        <f t="array" ref="J252">INDEX(데이터_new!$D:$D, MATCH(1, (데이터_new!$A:$A=M포인트몰양식!I252)*(데이터_new!$B:$B=M포인트몰양식!J252), 0))</f>
        <v>0</v>
      </c>
    </row>
    <row r="253" spans="9:10">
      <c r="I253" s="6" t="e">
        <f>VLOOKUP(M포인트몰양식!$I253,데이터_new!$A:$D,3,FALSE)</f>
        <v>#N/A</v>
      </c>
      <c r="J253" s="6">
        <f t="array" ref="J253">INDEX(데이터_new!$D:$D, MATCH(1, (데이터_new!$A:$A=M포인트몰양식!I253)*(데이터_new!$B:$B=M포인트몰양식!J253), 0))</f>
        <v>0</v>
      </c>
    </row>
    <row r="254" spans="9:10">
      <c r="I254" s="6" t="e">
        <f>VLOOKUP(M포인트몰양식!$I254,데이터_new!$A:$D,3,FALSE)</f>
        <v>#N/A</v>
      </c>
      <c r="J254" s="6">
        <f t="array" ref="J254">INDEX(데이터_new!$D:$D, MATCH(1, (데이터_new!$A:$A=M포인트몰양식!I254)*(데이터_new!$B:$B=M포인트몰양식!J254), 0))</f>
        <v>0</v>
      </c>
    </row>
    <row r="255" spans="9:10">
      <c r="I255" s="6" t="e">
        <f>VLOOKUP(M포인트몰양식!$I255,데이터_new!$A:$D,3,FALSE)</f>
        <v>#N/A</v>
      </c>
      <c r="J255" s="6">
        <f t="array" ref="J255">INDEX(데이터_new!$D:$D, MATCH(1, (데이터_new!$A:$A=M포인트몰양식!I255)*(데이터_new!$B:$B=M포인트몰양식!J255), 0))</f>
        <v>0</v>
      </c>
    </row>
    <row r="256" spans="9:10">
      <c r="I256" s="6" t="e">
        <f>VLOOKUP(M포인트몰양식!$I256,데이터_new!$A:$D,3,FALSE)</f>
        <v>#N/A</v>
      </c>
      <c r="J256" s="6">
        <f t="array" ref="J256">INDEX(데이터_new!$D:$D, MATCH(1, (데이터_new!$A:$A=M포인트몰양식!I256)*(데이터_new!$B:$B=M포인트몰양식!J256), 0))</f>
        <v>0</v>
      </c>
    </row>
    <row r="257" spans="9:10">
      <c r="I257" s="6" t="e">
        <f>VLOOKUP(M포인트몰양식!$I257,데이터_new!$A:$D,3,FALSE)</f>
        <v>#N/A</v>
      </c>
      <c r="J257" s="6">
        <f t="array" ref="J257">INDEX(데이터_new!$D:$D, MATCH(1, (데이터_new!$A:$A=M포인트몰양식!I257)*(데이터_new!$B:$B=M포인트몰양식!J257), 0))</f>
        <v>0</v>
      </c>
    </row>
    <row r="258" spans="9:10">
      <c r="I258" s="6" t="e">
        <f>VLOOKUP(M포인트몰양식!$I258,데이터_new!$A:$D,3,FALSE)</f>
        <v>#N/A</v>
      </c>
      <c r="J258" s="6">
        <f t="array" ref="J258">INDEX(데이터_new!$D:$D, MATCH(1, (데이터_new!$A:$A=M포인트몰양식!I258)*(데이터_new!$B:$B=M포인트몰양식!J258), 0))</f>
        <v>0</v>
      </c>
    </row>
    <row r="259" spans="9:10">
      <c r="I259" s="6" t="e">
        <f>VLOOKUP(M포인트몰양식!$I259,데이터_new!$A:$D,3,FALSE)</f>
        <v>#N/A</v>
      </c>
      <c r="J259" s="6">
        <f t="array" ref="J259">INDEX(데이터_new!$D:$D, MATCH(1, (데이터_new!$A:$A=M포인트몰양식!I259)*(데이터_new!$B:$B=M포인트몰양식!J259), 0))</f>
        <v>0</v>
      </c>
    </row>
    <row r="260" spans="9:10">
      <c r="I260" s="6" t="e">
        <f>VLOOKUP(M포인트몰양식!$I260,데이터_new!$A:$D,3,FALSE)</f>
        <v>#N/A</v>
      </c>
      <c r="J260" s="6">
        <f t="array" ref="J260">INDEX(데이터_new!$D:$D, MATCH(1, (데이터_new!$A:$A=M포인트몰양식!I260)*(데이터_new!$B:$B=M포인트몰양식!J260), 0))</f>
        <v>0</v>
      </c>
    </row>
    <row r="261" spans="9:10">
      <c r="I261" s="6" t="e">
        <f>VLOOKUP(M포인트몰양식!$I261,데이터_new!$A:$D,3,FALSE)</f>
        <v>#N/A</v>
      </c>
      <c r="J261" s="6">
        <f t="array" ref="J261">INDEX(데이터_new!$D:$D, MATCH(1, (데이터_new!$A:$A=M포인트몰양식!I261)*(데이터_new!$B:$B=M포인트몰양식!J261), 0))</f>
        <v>0</v>
      </c>
    </row>
    <row r="262" spans="9:10">
      <c r="I262" s="6" t="e">
        <f>VLOOKUP(M포인트몰양식!$I262,데이터_new!$A:$D,3,FALSE)</f>
        <v>#N/A</v>
      </c>
      <c r="J262" s="6">
        <f t="array" ref="J262">INDEX(데이터_new!$D:$D, MATCH(1, (데이터_new!$A:$A=M포인트몰양식!I262)*(데이터_new!$B:$B=M포인트몰양식!J262), 0))</f>
        <v>0</v>
      </c>
    </row>
    <row r="263" spans="9:10">
      <c r="I263" s="6" t="e">
        <f>VLOOKUP(M포인트몰양식!$I263,데이터_new!$A:$D,3,FALSE)</f>
        <v>#N/A</v>
      </c>
      <c r="J263" s="6">
        <f t="array" ref="J263">INDEX(데이터_new!$D:$D, MATCH(1, (데이터_new!$A:$A=M포인트몰양식!I263)*(데이터_new!$B:$B=M포인트몰양식!J263), 0))</f>
        <v>0</v>
      </c>
    </row>
    <row r="264" spans="9:10">
      <c r="I264" s="6" t="e">
        <f>VLOOKUP(M포인트몰양식!$I264,데이터_new!$A:$D,3,FALSE)</f>
        <v>#N/A</v>
      </c>
      <c r="J264" s="6">
        <f t="array" ref="J264">INDEX(데이터_new!$D:$D, MATCH(1, (데이터_new!$A:$A=M포인트몰양식!I264)*(데이터_new!$B:$B=M포인트몰양식!J264), 0))</f>
        <v>0</v>
      </c>
    </row>
    <row r="265" spans="9:10">
      <c r="I265" s="6" t="e">
        <f>VLOOKUP(M포인트몰양식!$I265,데이터_new!$A:$D,3,FALSE)</f>
        <v>#N/A</v>
      </c>
      <c r="J265" s="6">
        <f t="array" ref="J265">INDEX(데이터_new!$D:$D, MATCH(1, (데이터_new!$A:$A=M포인트몰양식!I265)*(데이터_new!$B:$B=M포인트몰양식!J265), 0))</f>
        <v>0</v>
      </c>
    </row>
    <row r="266" spans="9:10">
      <c r="I266" s="6" t="e">
        <f>VLOOKUP(M포인트몰양식!$I266,데이터_new!$A:$D,3,FALSE)</f>
        <v>#N/A</v>
      </c>
      <c r="J266" s="6">
        <f t="array" ref="J266">INDEX(데이터_new!$D:$D, MATCH(1, (데이터_new!$A:$A=M포인트몰양식!I266)*(데이터_new!$B:$B=M포인트몰양식!J266), 0))</f>
        <v>0</v>
      </c>
    </row>
    <row r="267" spans="9:10">
      <c r="I267" s="6" t="e">
        <f>VLOOKUP(M포인트몰양식!$I267,데이터_new!$A:$D,3,FALSE)</f>
        <v>#N/A</v>
      </c>
      <c r="J267" s="6">
        <f t="array" ref="J267">INDEX(데이터_new!$D:$D, MATCH(1, (데이터_new!$A:$A=M포인트몰양식!I267)*(데이터_new!$B:$B=M포인트몰양식!J267), 0))</f>
        <v>0</v>
      </c>
    </row>
    <row r="268" spans="9:10">
      <c r="I268" s="6" t="e">
        <f>VLOOKUP(M포인트몰양식!$I268,데이터_new!$A:$D,3,FALSE)</f>
        <v>#N/A</v>
      </c>
      <c r="J268" s="6">
        <f t="array" ref="J268">INDEX(데이터_new!$D:$D, MATCH(1, (데이터_new!$A:$A=M포인트몰양식!I268)*(데이터_new!$B:$B=M포인트몰양식!J268), 0))</f>
        <v>0</v>
      </c>
    </row>
    <row r="269" spans="9:10">
      <c r="I269" s="6" t="e">
        <f>VLOOKUP(M포인트몰양식!$I269,데이터_new!$A:$D,3,FALSE)</f>
        <v>#N/A</v>
      </c>
      <c r="J269" s="6">
        <f t="array" ref="J269">INDEX(데이터_new!$D:$D, MATCH(1, (데이터_new!$A:$A=M포인트몰양식!I269)*(데이터_new!$B:$B=M포인트몰양식!J269), 0))</f>
        <v>0</v>
      </c>
    </row>
    <row r="270" spans="9:10">
      <c r="I270" s="6" t="e">
        <f>VLOOKUP(M포인트몰양식!$I270,데이터_new!$A:$D,3,FALSE)</f>
        <v>#N/A</v>
      </c>
      <c r="J270" s="6">
        <f t="array" ref="J270">INDEX(데이터_new!$D:$D, MATCH(1, (데이터_new!$A:$A=M포인트몰양식!I270)*(데이터_new!$B:$B=M포인트몰양식!J270), 0))</f>
        <v>0</v>
      </c>
    </row>
    <row r="271" spans="9:10">
      <c r="I271" s="6" t="e">
        <f>VLOOKUP(M포인트몰양식!$I271,데이터_new!$A:$D,3,FALSE)</f>
        <v>#N/A</v>
      </c>
      <c r="J271" s="6">
        <f t="array" ref="J271">INDEX(데이터_new!$D:$D, MATCH(1, (데이터_new!$A:$A=M포인트몰양식!I271)*(데이터_new!$B:$B=M포인트몰양식!J271), 0))</f>
        <v>0</v>
      </c>
    </row>
    <row r="272" spans="9:10">
      <c r="I272" s="6" t="e">
        <f>VLOOKUP(M포인트몰양식!$I272,데이터_new!$A:$D,3,FALSE)</f>
        <v>#N/A</v>
      </c>
      <c r="J272" s="6">
        <f t="array" ref="J272">INDEX(데이터_new!$D:$D, MATCH(1, (데이터_new!$A:$A=M포인트몰양식!I272)*(데이터_new!$B:$B=M포인트몰양식!J272), 0))</f>
        <v>0</v>
      </c>
    </row>
    <row r="273" spans="9:10">
      <c r="I273" s="6" t="e">
        <f>VLOOKUP(M포인트몰양식!$I273,데이터_new!$A:$D,3,FALSE)</f>
        <v>#N/A</v>
      </c>
      <c r="J273" s="6">
        <f t="array" ref="J273">INDEX(데이터_new!$D:$D, MATCH(1, (데이터_new!$A:$A=M포인트몰양식!I273)*(데이터_new!$B:$B=M포인트몰양식!J273), 0))</f>
        <v>0</v>
      </c>
    </row>
    <row r="274" spans="9:10">
      <c r="I274" s="6" t="e">
        <f>VLOOKUP(M포인트몰양식!$I274,데이터_new!$A:$D,3,FALSE)</f>
        <v>#N/A</v>
      </c>
      <c r="J274" s="6">
        <f t="array" ref="J274">INDEX(데이터_new!$D:$D, MATCH(1, (데이터_new!$A:$A=M포인트몰양식!I274)*(데이터_new!$B:$B=M포인트몰양식!J274), 0))</f>
        <v>0</v>
      </c>
    </row>
    <row r="275" spans="9:10">
      <c r="I275" s="6" t="e">
        <f>VLOOKUP(M포인트몰양식!$I275,데이터_new!$A:$D,3,FALSE)</f>
        <v>#N/A</v>
      </c>
      <c r="J275" s="6">
        <f t="array" ref="J275">INDEX(데이터_new!$D:$D, MATCH(1, (데이터_new!$A:$A=M포인트몰양식!I275)*(데이터_new!$B:$B=M포인트몰양식!J275), 0))</f>
        <v>0</v>
      </c>
    </row>
    <row r="276" spans="9:10">
      <c r="I276" s="6" t="e">
        <f>VLOOKUP(M포인트몰양식!$I276,데이터_new!$A:$D,3,FALSE)</f>
        <v>#N/A</v>
      </c>
      <c r="J276" s="6">
        <f t="array" ref="J276">INDEX(데이터_new!$D:$D, MATCH(1, (데이터_new!$A:$A=M포인트몰양식!I276)*(데이터_new!$B:$B=M포인트몰양식!J276), 0))</f>
        <v>0</v>
      </c>
    </row>
    <row r="277" spans="9:10">
      <c r="I277" s="6" t="e">
        <f>VLOOKUP(M포인트몰양식!$I277,데이터_new!$A:$D,3,FALSE)</f>
        <v>#N/A</v>
      </c>
      <c r="J277" s="6">
        <f t="array" ref="J277">INDEX(데이터_new!$D:$D, MATCH(1, (데이터_new!$A:$A=M포인트몰양식!I277)*(데이터_new!$B:$B=M포인트몰양식!J277), 0))</f>
        <v>0</v>
      </c>
    </row>
    <row r="278" spans="9:10">
      <c r="I278" s="6" t="e">
        <f>VLOOKUP(M포인트몰양식!$I278,데이터_new!$A:$D,3,FALSE)</f>
        <v>#N/A</v>
      </c>
      <c r="J278" s="6">
        <f t="array" ref="J278">INDEX(데이터_new!$D:$D, MATCH(1, (데이터_new!$A:$A=M포인트몰양식!I278)*(데이터_new!$B:$B=M포인트몰양식!J278), 0))</f>
        <v>0</v>
      </c>
    </row>
    <row r="279" spans="9:10">
      <c r="I279" s="6" t="e">
        <f>VLOOKUP(M포인트몰양식!$I279,데이터_new!$A:$D,3,FALSE)</f>
        <v>#N/A</v>
      </c>
      <c r="J279" s="6">
        <f t="array" ref="J279">INDEX(데이터_new!$D:$D, MATCH(1, (데이터_new!$A:$A=M포인트몰양식!I279)*(데이터_new!$B:$B=M포인트몰양식!J279), 0))</f>
        <v>0</v>
      </c>
    </row>
    <row r="280" spans="9:10">
      <c r="I280" s="6" t="e">
        <f>VLOOKUP(M포인트몰양식!$I280,데이터_new!$A:$D,3,FALSE)</f>
        <v>#N/A</v>
      </c>
      <c r="J280" s="6">
        <f t="array" ref="J280">INDEX(데이터_new!$D:$D, MATCH(1, (데이터_new!$A:$A=M포인트몰양식!I280)*(데이터_new!$B:$B=M포인트몰양식!J280), 0))</f>
        <v>0</v>
      </c>
    </row>
    <row r="281" spans="9:10">
      <c r="I281" s="6" t="e">
        <f>VLOOKUP(M포인트몰양식!$I281,데이터_new!$A:$D,3,FALSE)</f>
        <v>#N/A</v>
      </c>
      <c r="J281" s="6">
        <f t="array" ref="J281">INDEX(데이터_new!$D:$D, MATCH(1, (데이터_new!$A:$A=M포인트몰양식!I281)*(데이터_new!$B:$B=M포인트몰양식!J281), 0))</f>
        <v>0</v>
      </c>
    </row>
    <row r="282" spans="9:10">
      <c r="I282" s="6" t="e">
        <f>VLOOKUP(M포인트몰양식!$I282,데이터_new!$A:$D,3,FALSE)</f>
        <v>#N/A</v>
      </c>
      <c r="J282" s="6">
        <f t="array" ref="J282">INDEX(데이터_new!$D:$D, MATCH(1, (데이터_new!$A:$A=M포인트몰양식!I282)*(데이터_new!$B:$B=M포인트몰양식!J282), 0))</f>
        <v>0</v>
      </c>
    </row>
    <row r="283" spans="9:10">
      <c r="I283" s="6" t="e">
        <f>VLOOKUP(M포인트몰양식!$I283,데이터_new!$A:$D,3,FALSE)</f>
        <v>#N/A</v>
      </c>
      <c r="J283" s="6">
        <f t="array" ref="J283">INDEX(데이터_new!$D:$D, MATCH(1, (데이터_new!$A:$A=M포인트몰양식!I283)*(데이터_new!$B:$B=M포인트몰양식!J283), 0))</f>
        <v>0</v>
      </c>
    </row>
    <row r="284" spans="9:10">
      <c r="I284" s="6" t="e">
        <f>VLOOKUP(M포인트몰양식!$I284,데이터_new!$A:$D,3,FALSE)</f>
        <v>#N/A</v>
      </c>
      <c r="J284" s="6">
        <f t="array" ref="J284">INDEX(데이터_new!$D:$D, MATCH(1, (데이터_new!$A:$A=M포인트몰양식!I284)*(데이터_new!$B:$B=M포인트몰양식!J284), 0))</f>
        <v>0</v>
      </c>
    </row>
    <row r="285" spans="9:10">
      <c r="I285" s="6" t="e">
        <f>VLOOKUP(M포인트몰양식!$I285,데이터_new!$A:$D,3,FALSE)</f>
        <v>#N/A</v>
      </c>
      <c r="J285" s="6">
        <f t="array" ref="J285">INDEX(데이터_new!$D:$D, MATCH(1, (데이터_new!$A:$A=M포인트몰양식!I285)*(데이터_new!$B:$B=M포인트몰양식!J285), 0))</f>
        <v>0</v>
      </c>
    </row>
    <row r="286" spans="9:10">
      <c r="I286" s="6" t="e">
        <f>VLOOKUP(M포인트몰양식!$I286,데이터_new!$A:$D,3,FALSE)</f>
        <v>#N/A</v>
      </c>
      <c r="J286" s="6">
        <f t="array" ref="J286">INDEX(데이터_new!$D:$D, MATCH(1, (데이터_new!$A:$A=M포인트몰양식!I286)*(데이터_new!$B:$B=M포인트몰양식!J286), 0))</f>
        <v>0</v>
      </c>
    </row>
    <row r="287" spans="9:10">
      <c r="I287" s="6" t="e">
        <f>VLOOKUP(M포인트몰양식!$I287,데이터_new!$A:$D,3,FALSE)</f>
        <v>#N/A</v>
      </c>
      <c r="J287" s="6">
        <f t="array" ref="J287">INDEX(데이터_new!$D:$D, MATCH(1, (데이터_new!$A:$A=M포인트몰양식!I287)*(데이터_new!$B:$B=M포인트몰양식!J287), 0))</f>
        <v>0</v>
      </c>
    </row>
    <row r="288" spans="9:10">
      <c r="I288" s="6" t="e">
        <f>VLOOKUP(M포인트몰양식!$I288,데이터_new!$A:$D,3,FALSE)</f>
        <v>#N/A</v>
      </c>
      <c r="J288" s="6">
        <f t="array" ref="J288">INDEX(데이터_new!$D:$D, MATCH(1, (데이터_new!$A:$A=M포인트몰양식!I288)*(데이터_new!$B:$B=M포인트몰양식!J288), 0))</f>
        <v>0</v>
      </c>
    </row>
    <row r="289" spans="9:10">
      <c r="I289" s="6" t="e">
        <f>VLOOKUP(M포인트몰양식!$I289,데이터_new!$A:$D,3,FALSE)</f>
        <v>#N/A</v>
      </c>
      <c r="J289" s="6">
        <f t="array" ref="J289">INDEX(데이터_new!$D:$D, MATCH(1, (데이터_new!$A:$A=M포인트몰양식!I289)*(데이터_new!$B:$B=M포인트몰양식!J289), 0))</f>
        <v>0</v>
      </c>
    </row>
    <row r="290" spans="9:10">
      <c r="I290" s="6" t="e">
        <f>VLOOKUP(M포인트몰양식!$I290,데이터_new!$A:$D,3,FALSE)</f>
        <v>#N/A</v>
      </c>
      <c r="J290" s="6">
        <f t="array" ref="J290">INDEX(데이터_new!$D:$D, MATCH(1, (데이터_new!$A:$A=M포인트몰양식!I290)*(데이터_new!$B:$B=M포인트몰양식!J290), 0))</f>
        <v>0</v>
      </c>
    </row>
    <row r="291" spans="9:10">
      <c r="I291" s="6" t="e">
        <f>VLOOKUP(M포인트몰양식!$I291,데이터_new!$A:$D,3,FALSE)</f>
        <v>#N/A</v>
      </c>
      <c r="J291" s="6">
        <f t="array" ref="J291">INDEX(데이터_new!$D:$D, MATCH(1, (데이터_new!$A:$A=M포인트몰양식!I291)*(데이터_new!$B:$B=M포인트몰양식!J291), 0))</f>
        <v>0</v>
      </c>
    </row>
    <row r="292" spans="9:10">
      <c r="I292" s="6" t="e">
        <f>VLOOKUP(M포인트몰양식!$I292,데이터_new!$A:$D,3,FALSE)</f>
        <v>#N/A</v>
      </c>
      <c r="J292" s="6">
        <f t="array" ref="J292">INDEX(데이터_new!$D:$D, MATCH(1, (데이터_new!$A:$A=M포인트몰양식!I292)*(데이터_new!$B:$B=M포인트몰양식!J292), 0))</f>
        <v>0</v>
      </c>
    </row>
    <row r="293" spans="9:10">
      <c r="I293" s="6" t="e">
        <f>VLOOKUP(M포인트몰양식!$I293,데이터_new!$A:$D,3,FALSE)</f>
        <v>#N/A</v>
      </c>
      <c r="J293" s="6">
        <f t="array" ref="J293">INDEX(데이터_new!$D:$D, MATCH(1, (데이터_new!$A:$A=M포인트몰양식!I293)*(데이터_new!$B:$B=M포인트몰양식!J293), 0))</f>
        <v>0</v>
      </c>
    </row>
    <row r="294" spans="9:10">
      <c r="I294" s="6" t="e">
        <f>VLOOKUP(M포인트몰양식!$I294,데이터_new!$A:$D,3,FALSE)</f>
        <v>#N/A</v>
      </c>
      <c r="J294" s="6">
        <f t="array" ref="J294">INDEX(데이터_new!$D:$D, MATCH(1, (데이터_new!$A:$A=M포인트몰양식!I294)*(데이터_new!$B:$B=M포인트몰양식!J294), 0))</f>
        <v>0</v>
      </c>
    </row>
    <row r="295" spans="9:10">
      <c r="I295" s="6" t="e">
        <f>VLOOKUP(M포인트몰양식!$I295,데이터_new!$A:$D,3,FALSE)</f>
        <v>#N/A</v>
      </c>
      <c r="J295" s="6">
        <f t="array" ref="J295">INDEX(데이터_new!$D:$D, MATCH(1, (데이터_new!$A:$A=M포인트몰양식!I295)*(데이터_new!$B:$B=M포인트몰양식!J295), 0))</f>
        <v>0</v>
      </c>
    </row>
    <row r="296" spans="9:10">
      <c r="I296" s="6" t="e">
        <f>VLOOKUP(M포인트몰양식!$I296,데이터_new!$A:$D,3,FALSE)</f>
        <v>#N/A</v>
      </c>
      <c r="J296" s="6">
        <f t="array" ref="J296">INDEX(데이터_new!$D:$D, MATCH(1, (데이터_new!$A:$A=M포인트몰양식!I296)*(데이터_new!$B:$B=M포인트몰양식!J296), 0))</f>
        <v>0</v>
      </c>
    </row>
    <row r="297" spans="9:10">
      <c r="I297" s="6" t="e">
        <f>VLOOKUP(M포인트몰양식!$I297,데이터_new!$A:$D,3,FALSE)</f>
        <v>#N/A</v>
      </c>
      <c r="J297" s="6">
        <f t="array" ref="J297">INDEX(데이터_new!$D:$D, MATCH(1, (데이터_new!$A:$A=M포인트몰양식!I297)*(데이터_new!$B:$B=M포인트몰양식!J297), 0))</f>
        <v>0</v>
      </c>
    </row>
    <row r="298" spans="9:10">
      <c r="I298" s="6" t="e">
        <f>VLOOKUP(M포인트몰양식!$I298,데이터_new!$A:$D,3,FALSE)</f>
        <v>#N/A</v>
      </c>
      <c r="J298" s="6">
        <f t="array" ref="J298">INDEX(데이터_new!$D:$D, MATCH(1, (데이터_new!$A:$A=M포인트몰양식!I298)*(데이터_new!$B:$B=M포인트몰양식!J298), 0))</f>
        <v>0</v>
      </c>
    </row>
    <row r="299" spans="9:10">
      <c r="I299" s="6" t="e">
        <f>VLOOKUP(M포인트몰양식!$I299,데이터_new!$A:$D,3,FALSE)</f>
        <v>#N/A</v>
      </c>
      <c r="J299" s="6">
        <f t="array" ref="J299">INDEX(데이터_new!$D:$D, MATCH(1, (데이터_new!$A:$A=M포인트몰양식!I299)*(데이터_new!$B:$B=M포인트몰양식!J299), 0))</f>
        <v>0</v>
      </c>
    </row>
    <row r="300" spans="9:10">
      <c r="I300" s="6" t="e">
        <f>VLOOKUP(M포인트몰양식!$I300,데이터_new!$A:$D,3,FALSE)</f>
        <v>#N/A</v>
      </c>
      <c r="J300" s="6">
        <f t="array" ref="J300">INDEX(데이터_new!$D:$D, MATCH(1, (데이터_new!$A:$A=M포인트몰양식!I300)*(데이터_new!$B:$B=M포인트몰양식!J300), 0))</f>
        <v>0</v>
      </c>
    </row>
    <row r="301" spans="9:10">
      <c r="I301" s="6" t="e">
        <f>VLOOKUP(M포인트몰양식!$I301,데이터_new!$A:$D,3,FALSE)</f>
        <v>#N/A</v>
      </c>
      <c r="J301" s="6">
        <f t="array" ref="J301">INDEX(데이터_new!$D:$D, MATCH(1, (데이터_new!$A:$A=M포인트몰양식!I301)*(데이터_new!$B:$B=M포인트몰양식!J301), 0))</f>
        <v>0</v>
      </c>
    </row>
    <row r="302" spans="9:10">
      <c r="I302" s="6" t="e">
        <f>VLOOKUP(M포인트몰양식!$I302,데이터_new!$A:$D,3,FALSE)</f>
        <v>#N/A</v>
      </c>
      <c r="J302" s="6">
        <f t="array" ref="J302">INDEX(데이터_new!$D:$D, MATCH(1, (데이터_new!$A:$A=M포인트몰양식!I302)*(데이터_new!$B:$B=M포인트몰양식!J302), 0))</f>
        <v>0</v>
      </c>
    </row>
    <row r="303" spans="9:10">
      <c r="I303" s="6" t="e">
        <f>VLOOKUP(M포인트몰양식!$I303,데이터_new!$A:$D,3,FALSE)</f>
        <v>#N/A</v>
      </c>
      <c r="J303" s="6">
        <f t="array" ref="J303">INDEX(데이터_new!$D:$D, MATCH(1, (데이터_new!$A:$A=M포인트몰양식!I303)*(데이터_new!$B:$B=M포인트몰양식!J303), 0))</f>
        <v>0</v>
      </c>
    </row>
    <row r="304" spans="9:10">
      <c r="I304" s="6" t="e">
        <f>VLOOKUP(M포인트몰양식!$I304,데이터_new!$A:$D,3,FALSE)</f>
        <v>#N/A</v>
      </c>
      <c r="J304" s="6">
        <f t="array" ref="J304">INDEX(데이터_new!$D:$D, MATCH(1, (데이터_new!$A:$A=M포인트몰양식!I304)*(데이터_new!$B:$B=M포인트몰양식!J304), 0))</f>
        <v>0</v>
      </c>
    </row>
    <row r="305" spans="9:10">
      <c r="I305" s="6" t="e">
        <f>VLOOKUP(M포인트몰양식!$I305,데이터_new!$A:$D,3,FALSE)</f>
        <v>#N/A</v>
      </c>
      <c r="J305" s="6">
        <f t="array" ref="J305">INDEX(데이터_new!$D:$D, MATCH(1, (데이터_new!$A:$A=M포인트몰양식!I305)*(데이터_new!$B:$B=M포인트몰양식!J305), 0))</f>
        <v>0</v>
      </c>
    </row>
    <row r="306" spans="9:10">
      <c r="I306" s="6" t="e">
        <f>VLOOKUP(M포인트몰양식!$I306,데이터_new!$A:$D,3,FALSE)</f>
        <v>#N/A</v>
      </c>
      <c r="J306" s="6">
        <f t="array" ref="J306">INDEX(데이터_new!$D:$D, MATCH(1, (데이터_new!$A:$A=M포인트몰양식!I306)*(데이터_new!$B:$B=M포인트몰양식!J306), 0))</f>
        <v>0</v>
      </c>
    </row>
    <row r="307" spans="9:10">
      <c r="I307" s="6" t="e">
        <f>VLOOKUP(M포인트몰양식!$I307,데이터_new!$A:$D,3,FALSE)</f>
        <v>#N/A</v>
      </c>
      <c r="J307" s="6">
        <f t="array" ref="J307">INDEX(데이터_new!$D:$D, MATCH(1, (데이터_new!$A:$A=M포인트몰양식!I307)*(데이터_new!$B:$B=M포인트몰양식!J307), 0))</f>
        <v>0</v>
      </c>
    </row>
    <row r="308" spans="9:10">
      <c r="I308" s="6" t="e">
        <f>VLOOKUP(M포인트몰양식!$I308,데이터_new!$A:$D,3,FALSE)</f>
        <v>#N/A</v>
      </c>
      <c r="J308" s="6">
        <f t="array" ref="J308">INDEX(데이터_new!$D:$D, MATCH(1, (데이터_new!$A:$A=M포인트몰양식!I308)*(데이터_new!$B:$B=M포인트몰양식!J308), 0))</f>
        <v>0</v>
      </c>
    </row>
    <row r="309" spans="9:10">
      <c r="I309" s="6" t="e">
        <f>VLOOKUP(M포인트몰양식!$I309,데이터_new!$A:$D,3,FALSE)</f>
        <v>#N/A</v>
      </c>
      <c r="J309" s="6">
        <f t="array" ref="J309">INDEX(데이터_new!$D:$D, MATCH(1, (데이터_new!$A:$A=M포인트몰양식!I309)*(데이터_new!$B:$B=M포인트몰양식!J309), 0))</f>
        <v>0</v>
      </c>
    </row>
    <row r="310" spans="9:10">
      <c r="I310" s="6" t="e">
        <f>VLOOKUP(M포인트몰양식!$I310,데이터_new!$A:$D,3,FALSE)</f>
        <v>#N/A</v>
      </c>
      <c r="J310" s="6">
        <f t="array" ref="J310">INDEX(데이터_new!$D:$D, MATCH(1, (데이터_new!$A:$A=M포인트몰양식!I310)*(데이터_new!$B:$B=M포인트몰양식!J310), 0))</f>
        <v>0</v>
      </c>
    </row>
    <row r="311" spans="9:10">
      <c r="I311" s="6" t="e">
        <f>VLOOKUP(M포인트몰양식!$I311,데이터_new!$A:$D,3,FALSE)</f>
        <v>#N/A</v>
      </c>
      <c r="J311" s="6">
        <f t="array" ref="J311">INDEX(데이터_new!$D:$D, MATCH(1, (데이터_new!$A:$A=M포인트몰양식!I311)*(데이터_new!$B:$B=M포인트몰양식!J311), 0))</f>
        <v>0</v>
      </c>
    </row>
    <row r="312" spans="9:10">
      <c r="I312" s="6" t="e">
        <f>VLOOKUP(M포인트몰양식!$I312,데이터_new!$A:$D,3,FALSE)</f>
        <v>#N/A</v>
      </c>
      <c r="J312" s="6">
        <f t="array" ref="J312">INDEX(데이터_new!$D:$D, MATCH(1, (데이터_new!$A:$A=M포인트몰양식!I312)*(데이터_new!$B:$B=M포인트몰양식!J312), 0))</f>
        <v>0</v>
      </c>
    </row>
    <row r="313" spans="9:10">
      <c r="I313" s="6" t="e">
        <f>VLOOKUP(M포인트몰양식!$I313,데이터_new!$A:$D,3,FALSE)</f>
        <v>#N/A</v>
      </c>
      <c r="J313" s="6">
        <f t="array" ref="J313">INDEX(데이터_new!$D:$D, MATCH(1, (데이터_new!$A:$A=M포인트몰양식!I313)*(데이터_new!$B:$B=M포인트몰양식!J313), 0))</f>
        <v>0</v>
      </c>
    </row>
    <row r="314" spans="9:10">
      <c r="I314" s="6" t="e">
        <f>VLOOKUP(M포인트몰양식!$I314,데이터_new!$A:$D,3,FALSE)</f>
        <v>#N/A</v>
      </c>
      <c r="J314" s="6">
        <f t="array" ref="J314">INDEX(데이터_new!$D:$D, MATCH(1, (데이터_new!$A:$A=M포인트몰양식!I314)*(데이터_new!$B:$B=M포인트몰양식!J314), 0))</f>
        <v>0</v>
      </c>
    </row>
    <row r="315" spans="9:10">
      <c r="I315" s="6" t="e">
        <f>VLOOKUP(M포인트몰양식!$I315,데이터_new!$A:$D,3,FALSE)</f>
        <v>#N/A</v>
      </c>
      <c r="J315" s="6">
        <f t="array" ref="J315">INDEX(데이터_new!$D:$D, MATCH(1, (데이터_new!$A:$A=M포인트몰양식!I315)*(데이터_new!$B:$B=M포인트몰양식!J315), 0))</f>
        <v>0</v>
      </c>
    </row>
    <row r="316" spans="9:10">
      <c r="I316" s="6" t="e">
        <f>VLOOKUP(M포인트몰양식!$I316,데이터_new!$A:$D,3,FALSE)</f>
        <v>#N/A</v>
      </c>
      <c r="J316" s="6">
        <f t="array" ref="J316">INDEX(데이터_new!$D:$D, MATCH(1, (데이터_new!$A:$A=M포인트몰양식!I316)*(데이터_new!$B:$B=M포인트몰양식!J316), 0))</f>
        <v>0</v>
      </c>
    </row>
    <row r="317" spans="9:10">
      <c r="I317" s="6" t="e">
        <f>VLOOKUP(M포인트몰양식!$I317,데이터_new!$A:$D,3,FALSE)</f>
        <v>#N/A</v>
      </c>
      <c r="J317" s="6">
        <f t="array" ref="J317">INDEX(데이터_new!$D:$D, MATCH(1, (데이터_new!$A:$A=M포인트몰양식!I317)*(데이터_new!$B:$B=M포인트몰양식!J317), 0))</f>
        <v>0</v>
      </c>
    </row>
    <row r="318" spans="9:10">
      <c r="I318" s="6" t="e">
        <f>VLOOKUP(M포인트몰양식!$I318,데이터_new!$A:$D,3,FALSE)</f>
        <v>#N/A</v>
      </c>
      <c r="J318" s="6">
        <f t="array" ref="J318">INDEX(데이터_new!$D:$D, MATCH(1, (데이터_new!$A:$A=M포인트몰양식!I318)*(데이터_new!$B:$B=M포인트몰양식!J318), 0))</f>
        <v>0</v>
      </c>
    </row>
    <row r="319" spans="9:10">
      <c r="I319" s="6" t="e">
        <f>VLOOKUP(M포인트몰양식!$I319,데이터_new!$A:$D,3,FALSE)</f>
        <v>#N/A</v>
      </c>
      <c r="J319" s="6">
        <f t="array" ref="J319">INDEX(데이터_new!$D:$D, MATCH(1, (데이터_new!$A:$A=M포인트몰양식!I319)*(데이터_new!$B:$B=M포인트몰양식!J319), 0))</f>
        <v>0</v>
      </c>
    </row>
    <row r="320" spans="9:10">
      <c r="I320" s="6" t="e">
        <f>VLOOKUP(M포인트몰양식!$I320,데이터_new!$A:$D,3,FALSE)</f>
        <v>#N/A</v>
      </c>
      <c r="J320" s="6">
        <f t="array" ref="J320">INDEX(데이터_new!$D:$D, MATCH(1, (데이터_new!$A:$A=M포인트몰양식!I320)*(데이터_new!$B:$B=M포인트몰양식!J320), 0))</f>
        <v>0</v>
      </c>
    </row>
    <row r="321" spans="9:10">
      <c r="I321" s="6" t="e">
        <f>VLOOKUP(M포인트몰양식!$I321,데이터_new!$A:$D,3,FALSE)</f>
        <v>#N/A</v>
      </c>
      <c r="J321" s="6">
        <f t="array" ref="J321">INDEX(데이터_new!$D:$D, MATCH(1, (데이터_new!$A:$A=M포인트몰양식!I321)*(데이터_new!$B:$B=M포인트몰양식!J321), 0))</f>
        <v>0</v>
      </c>
    </row>
    <row r="322" spans="9:10">
      <c r="I322" s="6" t="e">
        <f>VLOOKUP(M포인트몰양식!$I322,데이터_new!$A:$D,3,FALSE)</f>
        <v>#N/A</v>
      </c>
      <c r="J322" s="6">
        <f t="array" ref="J322">INDEX(데이터_new!$D:$D, MATCH(1, (데이터_new!$A:$A=M포인트몰양식!I322)*(데이터_new!$B:$B=M포인트몰양식!J322), 0))</f>
        <v>0</v>
      </c>
    </row>
    <row r="323" spans="9:10">
      <c r="I323" s="6" t="e">
        <f>VLOOKUP(M포인트몰양식!$I323,데이터_new!$A:$D,3,FALSE)</f>
        <v>#N/A</v>
      </c>
      <c r="J323" s="6">
        <f t="array" ref="J323">INDEX(데이터_new!$D:$D, MATCH(1, (데이터_new!$A:$A=M포인트몰양식!I323)*(데이터_new!$B:$B=M포인트몰양식!J323), 0))</f>
        <v>0</v>
      </c>
    </row>
    <row r="324" spans="9:10">
      <c r="I324" s="6" t="e">
        <f>VLOOKUP(M포인트몰양식!$I324,데이터_new!$A:$D,3,FALSE)</f>
        <v>#N/A</v>
      </c>
      <c r="J324" s="6">
        <f t="array" ref="J324">INDEX(데이터_new!$D:$D, MATCH(1, (데이터_new!$A:$A=M포인트몰양식!I324)*(데이터_new!$B:$B=M포인트몰양식!J324), 0))</f>
        <v>0</v>
      </c>
    </row>
    <row r="325" spans="9:10">
      <c r="I325" s="6" t="e">
        <f>VLOOKUP(M포인트몰양식!$I325,데이터_new!$A:$D,3,FALSE)</f>
        <v>#N/A</v>
      </c>
      <c r="J325" s="6">
        <f t="array" ref="J325">INDEX(데이터_new!$D:$D, MATCH(1, (데이터_new!$A:$A=M포인트몰양식!I325)*(데이터_new!$B:$B=M포인트몰양식!J325), 0))</f>
        <v>0</v>
      </c>
    </row>
    <row r="326" spans="9:10">
      <c r="I326" s="6" t="e">
        <f>VLOOKUP(M포인트몰양식!$I326,데이터_new!$A:$D,3,FALSE)</f>
        <v>#N/A</v>
      </c>
      <c r="J326" s="6">
        <f t="array" ref="J326">INDEX(데이터_new!$D:$D, MATCH(1, (데이터_new!$A:$A=M포인트몰양식!I326)*(데이터_new!$B:$B=M포인트몰양식!J326), 0))</f>
        <v>0</v>
      </c>
    </row>
    <row r="327" spans="9:10">
      <c r="I327" s="6" t="e">
        <f>VLOOKUP(M포인트몰양식!$I327,데이터_new!$A:$D,3,FALSE)</f>
        <v>#N/A</v>
      </c>
      <c r="J327" s="6">
        <f t="array" ref="J327">INDEX(데이터_new!$D:$D, MATCH(1, (데이터_new!$A:$A=M포인트몰양식!I327)*(데이터_new!$B:$B=M포인트몰양식!J327), 0))</f>
        <v>0</v>
      </c>
    </row>
    <row r="328" spans="9:10">
      <c r="I328" s="6" t="e">
        <f>VLOOKUP(M포인트몰양식!$I328,데이터_new!$A:$D,3,FALSE)</f>
        <v>#N/A</v>
      </c>
      <c r="J328" s="6">
        <f t="array" ref="J328">INDEX(데이터_new!$D:$D, MATCH(1, (데이터_new!$A:$A=M포인트몰양식!I328)*(데이터_new!$B:$B=M포인트몰양식!J328), 0))</f>
        <v>0</v>
      </c>
    </row>
    <row r="329" spans="9:10">
      <c r="I329" s="6" t="e">
        <f>VLOOKUP(M포인트몰양식!$I329,데이터_new!$A:$D,3,FALSE)</f>
        <v>#N/A</v>
      </c>
      <c r="J329" s="6">
        <f t="array" ref="J329">INDEX(데이터_new!$D:$D, MATCH(1, (데이터_new!$A:$A=M포인트몰양식!I329)*(데이터_new!$B:$B=M포인트몰양식!J329), 0))</f>
        <v>0</v>
      </c>
    </row>
    <row r="330" spans="9:10">
      <c r="I330" s="6" t="e">
        <f>VLOOKUP(M포인트몰양식!$I330,데이터_new!$A:$D,3,FALSE)</f>
        <v>#N/A</v>
      </c>
      <c r="J330" s="6">
        <f t="array" ref="J330">INDEX(데이터_new!$D:$D, MATCH(1, (데이터_new!$A:$A=M포인트몰양식!I330)*(데이터_new!$B:$B=M포인트몰양식!J330), 0))</f>
        <v>0</v>
      </c>
    </row>
    <row r="331" spans="9:10">
      <c r="I331" s="6" t="e">
        <f>VLOOKUP(M포인트몰양식!$I331,데이터_new!$A:$D,3,FALSE)</f>
        <v>#N/A</v>
      </c>
      <c r="J331" s="6">
        <f t="array" ref="J331">INDEX(데이터_new!$D:$D, MATCH(1, (데이터_new!$A:$A=M포인트몰양식!I331)*(데이터_new!$B:$B=M포인트몰양식!J331), 0))</f>
        <v>0</v>
      </c>
    </row>
    <row r="332" spans="9:10">
      <c r="I332" s="6" t="e">
        <f>VLOOKUP(M포인트몰양식!$I332,데이터_new!$A:$D,3,FALSE)</f>
        <v>#N/A</v>
      </c>
      <c r="J332" s="6">
        <f t="array" ref="J332">INDEX(데이터_new!$D:$D, MATCH(1, (데이터_new!$A:$A=M포인트몰양식!I332)*(데이터_new!$B:$B=M포인트몰양식!J332), 0))</f>
        <v>0</v>
      </c>
    </row>
    <row r="333" spans="9:10">
      <c r="I333" s="6" t="e">
        <f>VLOOKUP(M포인트몰양식!$I333,데이터_new!$A:$D,3,FALSE)</f>
        <v>#N/A</v>
      </c>
      <c r="J333" s="6">
        <f t="array" ref="J333">INDEX(데이터_new!$D:$D, MATCH(1, (데이터_new!$A:$A=M포인트몰양식!I333)*(데이터_new!$B:$B=M포인트몰양식!J333), 0))</f>
        <v>0</v>
      </c>
    </row>
    <row r="334" spans="9:10">
      <c r="I334" s="6" t="e">
        <f>VLOOKUP(M포인트몰양식!$I334,데이터_new!$A:$D,3,FALSE)</f>
        <v>#N/A</v>
      </c>
      <c r="J334" s="6">
        <f t="array" ref="J334">INDEX(데이터_new!$D:$D, MATCH(1, (데이터_new!$A:$A=M포인트몰양식!I334)*(데이터_new!$B:$B=M포인트몰양식!J334), 0))</f>
        <v>0</v>
      </c>
    </row>
    <row r="335" spans="9:10">
      <c r="I335" s="6" t="e">
        <f>VLOOKUP(M포인트몰양식!$I335,데이터_new!$A:$D,3,FALSE)</f>
        <v>#N/A</v>
      </c>
      <c r="J335" s="6">
        <f t="array" ref="J335">INDEX(데이터_new!$D:$D, MATCH(1, (데이터_new!$A:$A=M포인트몰양식!I335)*(데이터_new!$B:$B=M포인트몰양식!J335), 0))</f>
        <v>0</v>
      </c>
    </row>
    <row r="336" spans="9:10">
      <c r="I336" s="6" t="e">
        <f>VLOOKUP(M포인트몰양식!$I336,데이터_new!$A:$D,3,FALSE)</f>
        <v>#N/A</v>
      </c>
      <c r="J336" s="6">
        <f t="array" ref="J336">INDEX(데이터_new!$D:$D, MATCH(1, (데이터_new!$A:$A=M포인트몰양식!I336)*(데이터_new!$B:$B=M포인트몰양식!J336), 0))</f>
        <v>0</v>
      </c>
    </row>
    <row r="337" spans="9:10">
      <c r="I337" s="6" t="e">
        <f>VLOOKUP(M포인트몰양식!$I337,데이터_new!$A:$D,3,FALSE)</f>
        <v>#N/A</v>
      </c>
      <c r="J337" s="6">
        <f t="array" ref="J337">INDEX(데이터_new!$D:$D, MATCH(1, (데이터_new!$A:$A=M포인트몰양식!I337)*(데이터_new!$B:$B=M포인트몰양식!J337), 0))</f>
        <v>0</v>
      </c>
    </row>
    <row r="338" spans="9:10">
      <c r="I338" s="6" t="e">
        <f>VLOOKUP(M포인트몰양식!$I338,데이터_new!$A:$D,3,FALSE)</f>
        <v>#N/A</v>
      </c>
      <c r="J338" s="6">
        <f t="array" ref="J338">INDEX(데이터_new!$D:$D, MATCH(1, (데이터_new!$A:$A=M포인트몰양식!I338)*(데이터_new!$B:$B=M포인트몰양식!J338), 0))</f>
        <v>0</v>
      </c>
    </row>
    <row r="339" spans="9:10">
      <c r="I339" s="6" t="e">
        <f>VLOOKUP(M포인트몰양식!$I339,데이터_new!$A:$D,3,FALSE)</f>
        <v>#N/A</v>
      </c>
      <c r="J339" s="6">
        <f t="array" ref="J339">INDEX(데이터_new!$D:$D, MATCH(1, (데이터_new!$A:$A=M포인트몰양식!I339)*(데이터_new!$B:$B=M포인트몰양식!J339), 0))</f>
        <v>0</v>
      </c>
    </row>
    <row r="340" spans="9:10">
      <c r="I340" s="6" t="e">
        <f>VLOOKUP(M포인트몰양식!$I340,데이터_new!$A:$D,3,FALSE)</f>
        <v>#N/A</v>
      </c>
      <c r="J340" s="6">
        <f t="array" ref="J340">INDEX(데이터_new!$D:$D, MATCH(1, (데이터_new!$A:$A=M포인트몰양식!I340)*(데이터_new!$B:$B=M포인트몰양식!J340), 0))</f>
        <v>0</v>
      </c>
    </row>
    <row r="341" spans="9:10">
      <c r="I341" s="6" t="e">
        <f>VLOOKUP(M포인트몰양식!$I341,데이터_new!$A:$D,3,FALSE)</f>
        <v>#N/A</v>
      </c>
      <c r="J341" s="6">
        <f t="array" ref="J341">INDEX(데이터_new!$D:$D, MATCH(1, (데이터_new!$A:$A=M포인트몰양식!I341)*(데이터_new!$B:$B=M포인트몰양식!J341), 0))</f>
        <v>0</v>
      </c>
    </row>
    <row r="342" spans="9:10">
      <c r="I342" s="6" t="e">
        <f>VLOOKUP(M포인트몰양식!$I342,데이터_new!$A:$D,3,FALSE)</f>
        <v>#N/A</v>
      </c>
      <c r="J342" s="6">
        <f t="array" ref="J342">INDEX(데이터_new!$D:$D, MATCH(1, (데이터_new!$A:$A=M포인트몰양식!I342)*(데이터_new!$B:$B=M포인트몰양식!J342), 0))</f>
        <v>0</v>
      </c>
    </row>
    <row r="343" spans="9:10">
      <c r="I343" s="6" t="e">
        <f>VLOOKUP(M포인트몰양식!$I343,데이터_new!$A:$D,3,FALSE)</f>
        <v>#N/A</v>
      </c>
      <c r="J343" s="6">
        <f t="array" ref="J343">INDEX(데이터_new!$D:$D, MATCH(1, (데이터_new!$A:$A=M포인트몰양식!I343)*(데이터_new!$B:$B=M포인트몰양식!J343), 0))</f>
        <v>0</v>
      </c>
    </row>
    <row r="344" spans="9:10">
      <c r="I344" s="6" t="e">
        <f>VLOOKUP(M포인트몰양식!$I344,데이터_new!$A:$D,3,FALSE)</f>
        <v>#N/A</v>
      </c>
      <c r="J344" s="6">
        <f t="array" ref="J344">INDEX(데이터_new!$D:$D, MATCH(1, (데이터_new!$A:$A=M포인트몰양식!I344)*(데이터_new!$B:$B=M포인트몰양식!J344), 0))</f>
        <v>0</v>
      </c>
    </row>
    <row r="345" spans="9:10">
      <c r="I345" s="6" t="e">
        <f>VLOOKUP(M포인트몰양식!$I345,데이터_new!$A:$D,3,FALSE)</f>
        <v>#N/A</v>
      </c>
      <c r="J345" s="6">
        <f t="array" ref="J345">INDEX(데이터_new!$D:$D, MATCH(1, (데이터_new!$A:$A=M포인트몰양식!I345)*(데이터_new!$B:$B=M포인트몰양식!J345), 0))</f>
        <v>0</v>
      </c>
    </row>
    <row r="346" spans="9:10">
      <c r="I346" s="6" t="e">
        <f>VLOOKUP(M포인트몰양식!$I346,데이터_new!$A:$D,3,FALSE)</f>
        <v>#N/A</v>
      </c>
      <c r="J346" s="6">
        <f t="array" ref="J346">INDEX(데이터_new!$D:$D, MATCH(1, (데이터_new!$A:$A=M포인트몰양식!I346)*(데이터_new!$B:$B=M포인트몰양식!J346), 0))</f>
        <v>0</v>
      </c>
    </row>
    <row r="347" spans="9:10">
      <c r="I347" s="6" t="e">
        <f>VLOOKUP(M포인트몰양식!$I347,데이터_new!$A:$D,3,FALSE)</f>
        <v>#N/A</v>
      </c>
      <c r="J347" s="6">
        <f t="array" ref="J347">INDEX(데이터_new!$D:$D, MATCH(1, (데이터_new!$A:$A=M포인트몰양식!I347)*(데이터_new!$B:$B=M포인트몰양식!J347), 0))</f>
        <v>0</v>
      </c>
    </row>
    <row r="348" spans="9:10">
      <c r="I348" s="6" t="e">
        <f>VLOOKUP(M포인트몰양식!$I348,데이터_new!$A:$D,3,FALSE)</f>
        <v>#N/A</v>
      </c>
      <c r="J348" s="6">
        <f t="array" ref="J348">INDEX(데이터_new!$D:$D, MATCH(1, (데이터_new!$A:$A=M포인트몰양식!I348)*(데이터_new!$B:$B=M포인트몰양식!J348), 0))</f>
        <v>0</v>
      </c>
    </row>
    <row r="349" spans="9:10">
      <c r="I349" s="6" t="e">
        <f>VLOOKUP(M포인트몰양식!$I349,데이터_new!$A:$D,3,FALSE)</f>
        <v>#N/A</v>
      </c>
      <c r="J349" s="6">
        <f t="array" ref="J349">INDEX(데이터_new!$D:$D, MATCH(1, (데이터_new!$A:$A=M포인트몰양식!I349)*(데이터_new!$B:$B=M포인트몰양식!J349), 0))</f>
        <v>0</v>
      </c>
    </row>
    <row r="350" spans="9:10">
      <c r="I350" s="6" t="e">
        <f>VLOOKUP(M포인트몰양식!$I350,데이터_new!$A:$D,3,FALSE)</f>
        <v>#N/A</v>
      </c>
      <c r="J350" s="6">
        <f t="array" ref="J350">INDEX(데이터_new!$D:$D, MATCH(1, (데이터_new!$A:$A=M포인트몰양식!I350)*(데이터_new!$B:$B=M포인트몰양식!J350), 0))</f>
        <v>0</v>
      </c>
    </row>
    <row r="351" spans="9:10">
      <c r="I351" s="6" t="e">
        <f>VLOOKUP(M포인트몰양식!$I351,데이터_new!$A:$D,3,FALSE)</f>
        <v>#N/A</v>
      </c>
      <c r="J351" s="6">
        <f t="array" ref="J351">INDEX(데이터_new!$D:$D, MATCH(1, (데이터_new!$A:$A=M포인트몰양식!I351)*(데이터_new!$B:$B=M포인트몰양식!J351), 0))</f>
        <v>0</v>
      </c>
    </row>
    <row r="352" spans="9:10">
      <c r="I352" s="6" t="e">
        <f>VLOOKUP(M포인트몰양식!$I352,데이터_new!$A:$D,3,FALSE)</f>
        <v>#N/A</v>
      </c>
      <c r="J352" s="6">
        <f t="array" ref="J352">INDEX(데이터_new!$D:$D, MATCH(1, (데이터_new!$A:$A=M포인트몰양식!I352)*(데이터_new!$B:$B=M포인트몰양식!J352), 0))</f>
        <v>0</v>
      </c>
    </row>
    <row r="353" spans="9:10">
      <c r="I353" s="6" t="e">
        <f>VLOOKUP(M포인트몰양식!$I353,데이터_new!$A:$D,3,FALSE)</f>
        <v>#N/A</v>
      </c>
      <c r="J353" s="6">
        <f t="array" ref="J353">INDEX(데이터_new!$D:$D, MATCH(1, (데이터_new!$A:$A=M포인트몰양식!I353)*(데이터_new!$B:$B=M포인트몰양식!J353), 0))</f>
        <v>0</v>
      </c>
    </row>
    <row r="354" spans="9:10">
      <c r="I354" s="6" t="e">
        <f>VLOOKUP(M포인트몰양식!$I354,데이터_new!$A:$D,3,FALSE)</f>
        <v>#N/A</v>
      </c>
      <c r="J354" s="6">
        <f t="array" ref="J354">INDEX(데이터_new!$D:$D, MATCH(1, (데이터_new!$A:$A=M포인트몰양식!I354)*(데이터_new!$B:$B=M포인트몰양식!J354), 0))</f>
        <v>0</v>
      </c>
    </row>
    <row r="355" spans="9:10">
      <c r="I355" s="6" t="e">
        <f>VLOOKUP(M포인트몰양식!$I355,데이터_new!$A:$D,3,FALSE)</f>
        <v>#N/A</v>
      </c>
      <c r="J355" s="6">
        <f t="array" ref="J355">INDEX(데이터_new!$D:$D, MATCH(1, (데이터_new!$A:$A=M포인트몰양식!I355)*(데이터_new!$B:$B=M포인트몰양식!J355), 0))</f>
        <v>0</v>
      </c>
    </row>
    <row r="356" spans="9:10">
      <c r="I356" s="6" t="e">
        <f>VLOOKUP(M포인트몰양식!$I356,데이터_new!$A:$D,3,FALSE)</f>
        <v>#N/A</v>
      </c>
      <c r="J356" s="6">
        <f t="array" ref="J356">INDEX(데이터_new!$D:$D, MATCH(1, (데이터_new!$A:$A=M포인트몰양식!I356)*(데이터_new!$B:$B=M포인트몰양식!J356), 0))</f>
        <v>0</v>
      </c>
    </row>
    <row r="357" spans="9:10">
      <c r="I357" s="6" t="e">
        <f>VLOOKUP(M포인트몰양식!$I357,데이터_new!$A:$D,3,FALSE)</f>
        <v>#N/A</v>
      </c>
      <c r="J357" s="6">
        <f t="array" ref="J357">INDEX(데이터_new!$D:$D, MATCH(1, (데이터_new!$A:$A=M포인트몰양식!I357)*(데이터_new!$B:$B=M포인트몰양식!J357), 0))</f>
        <v>0</v>
      </c>
    </row>
    <row r="358" spans="9:10">
      <c r="I358" s="6" t="e">
        <f>VLOOKUP(M포인트몰양식!$I358,데이터_new!$A:$D,3,FALSE)</f>
        <v>#N/A</v>
      </c>
      <c r="J358" s="6">
        <f t="array" ref="J358">INDEX(데이터_new!$D:$D, MATCH(1, (데이터_new!$A:$A=M포인트몰양식!I358)*(데이터_new!$B:$B=M포인트몰양식!J358), 0))</f>
        <v>0</v>
      </c>
    </row>
    <row r="359" spans="9:10">
      <c r="I359" s="6" t="e">
        <f>VLOOKUP(M포인트몰양식!$I359,데이터_new!$A:$D,3,FALSE)</f>
        <v>#N/A</v>
      </c>
      <c r="J359" s="6">
        <f t="array" ref="J359">INDEX(데이터_new!$D:$D, MATCH(1, (데이터_new!$A:$A=M포인트몰양식!I359)*(데이터_new!$B:$B=M포인트몰양식!J359), 0))</f>
        <v>0</v>
      </c>
    </row>
    <row r="360" spans="9:10">
      <c r="I360" s="6" t="e">
        <f>VLOOKUP(M포인트몰양식!$I360,데이터_new!$A:$D,3,FALSE)</f>
        <v>#N/A</v>
      </c>
      <c r="J360" s="6">
        <f t="array" ref="J360">INDEX(데이터_new!$D:$D, MATCH(1, (데이터_new!$A:$A=M포인트몰양식!I360)*(데이터_new!$B:$B=M포인트몰양식!J360), 0))</f>
        <v>0</v>
      </c>
    </row>
    <row r="361" spans="9:10">
      <c r="I361" s="6" t="e">
        <f>VLOOKUP(M포인트몰양식!$I361,데이터_new!$A:$D,3,FALSE)</f>
        <v>#N/A</v>
      </c>
      <c r="J361" s="6">
        <f t="array" ref="J361">INDEX(데이터_new!$D:$D, MATCH(1, (데이터_new!$A:$A=M포인트몰양식!I361)*(데이터_new!$B:$B=M포인트몰양식!J361), 0))</f>
        <v>0</v>
      </c>
    </row>
    <row r="362" spans="9:10">
      <c r="I362" s="6" t="e">
        <f>VLOOKUP(M포인트몰양식!$I362,데이터_new!$A:$D,3,FALSE)</f>
        <v>#N/A</v>
      </c>
      <c r="J362" s="6">
        <f t="array" ref="J362">INDEX(데이터_new!$D:$D, MATCH(1, (데이터_new!$A:$A=M포인트몰양식!I362)*(데이터_new!$B:$B=M포인트몰양식!J362), 0))</f>
        <v>0</v>
      </c>
    </row>
    <row r="363" spans="9:10">
      <c r="I363" s="6" t="e">
        <f>VLOOKUP(M포인트몰양식!$I363,데이터_new!$A:$D,3,FALSE)</f>
        <v>#N/A</v>
      </c>
      <c r="J363" s="6">
        <f t="array" ref="J363">INDEX(데이터_new!$D:$D, MATCH(1, (데이터_new!$A:$A=M포인트몰양식!I363)*(데이터_new!$B:$B=M포인트몰양식!J363), 0))</f>
        <v>0</v>
      </c>
    </row>
    <row r="364" spans="9:10">
      <c r="I364" s="6" t="e">
        <f>VLOOKUP(M포인트몰양식!$I364,데이터_new!$A:$D,3,FALSE)</f>
        <v>#N/A</v>
      </c>
      <c r="J364" s="6">
        <f t="array" ref="J364">INDEX(데이터_new!$D:$D, MATCH(1, (데이터_new!$A:$A=M포인트몰양식!I364)*(데이터_new!$B:$B=M포인트몰양식!J364), 0))</f>
        <v>0</v>
      </c>
    </row>
    <row r="365" spans="9:10">
      <c r="I365" s="6" t="e">
        <f>VLOOKUP(M포인트몰양식!$I365,데이터_new!$A:$D,3,FALSE)</f>
        <v>#N/A</v>
      </c>
      <c r="J365" s="6">
        <f t="array" ref="J365">INDEX(데이터_new!$D:$D, MATCH(1, (데이터_new!$A:$A=M포인트몰양식!I365)*(데이터_new!$B:$B=M포인트몰양식!J365), 0))</f>
        <v>0</v>
      </c>
    </row>
    <row r="366" spans="9:10">
      <c r="I366" s="6" t="e">
        <f>VLOOKUP(M포인트몰양식!$I366,데이터_new!$A:$D,3,FALSE)</f>
        <v>#N/A</v>
      </c>
      <c r="J366" s="6">
        <f t="array" ref="J366">INDEX(데이터_new!$D:$D, MATCH(1, (데이터_new!$A:$A=M포인트몰양식!I366)*(데이터_new!$B:$B=M포인트몰양식!J366), 0))</f>
        <v>0</v>
      </c>
    </row>
    <row r="367" spans="9:10">
      <c r="I367" s="6" t="e">
        <f>VLOOKUP(M포인트몰양식!$I367,데이터_new!$A:$D,3,FALSE)</f>
        <v>#N/A</v>
      </c>
      <c r="J367" s="6">
        <f t="array" ref="J367">INDEX(데이터_new!$D:$D, MATCH(1, (데이터_new!$A:$A=M포인트몰양식!I367)*(데이터_new!$B:$B=M포인트몰양식!J367), 0))</f>
        <v>0</v>
      </c>
    </row>
    <row r="368" spans="9:10">
      <c r="I368" s="6" t="e">
        <f>VLOOKUP(M포인트몰양식!$I368,데이터_new!$A:$D,3,FALSE)</f>
        <v>#N/A</v>
      </c>
      <c r="J368" s="6">
        <f t="array" ref="J368">INDEX(데이터_new!$D:$D, MATCH(1, (데이터_new!$A:$A=M포인트몰양식!I368)*(데이터_new!$B:$B=M포인트몰양식!J368), 0))</f>
        <v>0</v>
      </c>
    </row>
    <row r="369" spans="9:10">
      <c r="I369" s="6" t="e">
        <f>VLOOKUP(M포인트몰양식!$I369,데이터_new!$A:$D,3,FALSE)</f>
        <v>#N/A</v>
      </c>
      <c r="J369" s="6">
        <f t="array" ref="J369">INDEX(데이터_new!$D:$D, MATCH(1, (데이터_new!$A:$A=M포인트몰양식!I369)*(데이터_new!$B:$B=M포인트몰양식!J369), 0))</f>
        <v>0</v>
      </c>
    </row>
    <row r="370" spans="9:10">
      <c r="I370" s="6" t="e">
        <f>VLOOKUP(M포인트몰양식!$I370,데이터_new!$A:$D,3,FALSE)</f>
        <v>#N/A</v>
      </c>
      <c r="J370" s="6">
        <f t="array" ref="J370">INDEX(데이터_new!$D:$D, MATCH(1, (데이터_new!$A:$A=M포인트몰양식!I370)*(데이터_new!$B:$B=M포인트몰양식!J370), 0))</f>
        <v>0</v>
      </c>
    </row>
    <row r="371" spans="9:10">
      <c r="I371" s="6" t="e">
        <f>VLOOKUP(M포인트몰양식!$I371,데이터_new!$A:$D,3,FALSE)</f>
        <v>#N/A</v>
      </c>
      <c r="J371" s="6">
        <f t="array" ref="J371">INDEX(데이터_new!$D:$D, MATCH(1, (데이터_new!$A:$A=M포인트몰양식!I371)*(데이터_new!$B:$B=M포인트몰양식!J371), 0))</f>
        <v>0</v>
      </c>
    </row>
    <row r="372" spans="9:10">
      <c r="I372" s="6" t="e">
        <f>VLOOKUP(M포인트몰양식!$I372,데이터_new!$A:$D,3,FALSE)</f>
        <v>#N/A</v>
      </c>
      <c r="J372" s="6">
        <f t="array" ref="J372">INDEX(데이터_new!$D:$D, MATCH(1, (데이터_new!$A:$A=M포인트몰양식!I372)*(데이터_new!$B:$B=M포인트몰양식!J372), 0))</f>
        <v>0</v>
      </c>
    </row>
    <row r="373" spans="9:10">
      <c r="I373" s="6" t="e">
        <f>VLOOKUP(M포인트몰양식!$I373,데이터_new!$A:$D,3,FALSE)</f>
        <v>#N/A</v>
      </c>
      <c r="J373" s="6">
        <f t="array" ref="J373">INDEX(데이터_new!$D:$D, MATCH(1, (데이터_new!$A:$A=M포인트몰양식!I373)*(데이터_new!$B:$B=M포인트몰양식!J373), 0))</f>
        <v>0</v>
      </c>
    </row>
    <row r="374" spans="9:10">
      <c r="I374" s="6" t="e">
        <f>VLOOKUP(M포인트몰양식!$I374,데이터_new!$A:$D,3,FALSE)</f>
        <v>#N/A</v>
      </c>
      <c r="J374" s="6">
        <f t="array" ref="J374">INDEX(데이터_new!$D:$D, MATCH(1, (데이터_new!$A:$A=M포인트몰양식!I374)*(데이터_new!$B:$B=M포인트몰양식!J374), 0))</f>
        <v>0</v>
      </c>
    </row>
    <row r="375" spans="9:10">
      <c r="I375" s="6" t="e">
        <f>VLOOKUP(M포인트몰양식!$I375,데이터_new!$A:$D,3,FALSE)</f>
        <v>#N/A</v>
      </c>
      <c r="J375" s="6">
        <f t="array" ref="J375">INDEX(데이터_new!$D:$D, MATCH(1, (데이터_new!$A:$A=M포인트몰양식!I375)*(데이터_new!$B:$B=M포인트몰양식!J375), 0))</f>
        <v>0</v>
      </c>
    </row>
    <row r="376" spans="9:10">
      <c r="I376" s="6" t="e">
        <f>VLOOKUP(M포인트몰양식!$I376,데이터_new!$A:$D,3,FALSE)</f>
        <v>#N/A</v>
      </c>
      <c r="J376" s="6">
        <f t="array" ref="J376">INDEX(데이터_new!$D:$D, MATCH(1, (데이터_new!$A:$A=M포인트몰양식!I376)*(데이터_new!$B:$B=M포인트몰양식!J376), 0))</f>
        <v>0</v>
      </c>
    </row>
    <row r="377" spans="9:10">
      <c r="I377" s="6" t="e">
        <f>VLOOKUP(M포인트몰양식!$I377,데이터_new!$A:$D,3,FALSE)</f>
        <v>#N/A</v>
      </c>
      <c r="J377" s="6">
        <f t="array" ref="J377">INDEX(데이터_new!$D:$D, MATCH(1, (데이터_new!$A:$A=M포인트몰양식!I377)*(데이터_new!$B:$B=M포인트몰양식!J377), 0))</f>
        <v>0</v>
      </c>
    </row>
    <row r="378" spans="9:10">
      <c r="I378" s="6" t="e">
        <f>VLOOKUP(M포인트몰양식!$I378,데이터_new!$A:$D,3,FALSE)</f>
        <v>#N/A</v>
      </c>
      <c r="J378" s="6">
        <f t="array" ref="J378">INDEX(데이터_new!$D:$D, MATCH(1, (데이터_new!$A:$A=M포인트몰양식!I378)*(데이터_new!$B:$B=M포인트몰양식!J378), 0))</f>
        <v>0</v>
      </c>
    </row>
    <row r="379" spans="9:10">
      <c r="I379" s="6" t="e">
        <f>VLOOKUP(M포인트몰양식!$I379,데이터_new!$A:$D,3,FALSE)</f>
        <v>#N/A</v>
      </c>
      <c r="J379" s="6">
        <f t="array" ref="J379">INDEX(데이터_new!$D:$D, MATCH(1, (데이터_new!$A:$A=M포인트몰양식!I379)*(데이터_new!$B:$B=M포인트몰양식!J379), 0))</f>
        <v>0</v>
      </c>
    </row>
    <row r="380" spans="9:10">
      <c r="I380" s="6" t="e">
        <f>VLOOKUP(M포인트몰양식!$I380,데이터_new!$A:$D,3,FALSE)</f>
        <v>#N/A</v>
      </c>
      <c r="J380" s="6">
        <f t="array" ref="J380">INDEX(데이터_new!$D:$D, MATCH(1, (데이터_new!$A:$A=M포인트몰양식!I380)*(데이터_new!$B:$B=M포인트몰양식!J380), 0))</f>
        <v>0</v>
      </c>
    </row>
    <row r="381" spans="9:10">
      <c r="I381" s="6" t="e">
        <f>VLOOKUP(M포인트몰양식!$I381,데이터_new!$A:$D,3,FALSE)</f>
        <v>#N/A</v>
      </c>
      <c r="J381" s="6">
        <f t="array" ref="J381">INDEX(데이터_new!$D:$D, MATCH(1, (데이터_new!$A:$A=M포인트몰양식!I381)*(데이터_new!$B:$B=M포인트몰양식!J381), 0))</f>
        <v>0</v>
      </c>
    </row>
    <row r="382" spans="9:10">
      <c r="I382" s="6" t="e">
        <f>VLOOKUP(M포인트몰양식!$I382,데이터_new!$A:$D,3,FALSE)</f>
        <v>#N/A</v>
      </c>
      <c r="J382" s="6">
        <f t="array" ref="J382">INDEX(데이터_new!$D:$D, MATCH(1, (데이터_new!$A:$A=M포인트몰양식!I382)*(데이터_new!$B:$B=M포인트몰양식!J382), 0))</f>
        <v>0</v>
      </c>
    </row>
    <row r="383" spans="9:10">
      <c r="I383" s="6" t="e">
        <f>VLOOKUP(M포인트몰양식!$I383,데이터_new!$A:$D,3,FALSE)</f>
        <v>#N/A</v>
      </c>
      <c r="J383" s="6">
        <f t="array" ref="J383">INDEX(데이터_new!$D:$D, MATCH(1, (데이터_new!$A:$A=M포인트몰양식!I383)*(데이터_new!$B:$B=M포인트몰양식!J383), 0))</f>
        <v>0</v>
      </c>
    </row>
    <row r="384" spans="9:10">
      <c r="I384" s="6" t="e">
        <f>VLOOKUP(M포인트몰양식!$I384,데이터_new!$A:$D,3,FALSE)</f>
        <v>#N/A</v>
      </c>
      <c r="J384" s="6">
        <f t="array" ref="J384">INDEX(데이터_new!$D:$D, MATCH(1, (데이터_new!$A:$A=M포인트몰양식!I384)*(데이터_new!$B:$B=M포인트몰양식!J384), 0))</f>
        <v>0</v>
      </c>
    </row>
    <row r="385" spans="9:10">
      <c r="I385" s="6" t="e">
        <f>VLOOKUP(M포인트몰양식!$I385,데이터_new!$A:$D,3,FALSE)</f>
        <v>#N/A</v>
      </c>
      <c r="J385" s="6">
        <f t="array" ref="J385">INDEX(데이터_new!$D:$D, MATCH(1, (데이터_new!$A:$A=M포인트몰양식!I385)*(데이터_new!$B:$B=M포인트몰양식!J385), 0))</f>
        <v>0</v>
      </c>
    </row>
    <row r="386" spans="9:10">
      <c r="I386" s="6" t="e">
        <f>VLOOKUP(M포인트몰양식!$I386,데이터_new!$A:$D,3,FALSE)</f>
        <v>#N/A</v>
      </c>
      <c r="J386" s="6">
        <f t="array" ref="J386">INDEX(데이터_new!$D:$D, MATCH(1, (데이터_new!$A:$A=M포인트몰양식!I386)*(데이터_new!$B:$B=M포인트몰양식!J386), 0))</f>
        <v>0</v>
      </c>
    </row>
    <row r="387" spans="9:10">
      <c r="I387" s="6" t="e">
        <f>VLOOKUP(M포인트몰양식!$I387,데이터_new!$A:$D,3,FALSE)</f>
        <v>#N/A</v>
      </c>
      <c r="J387" s="6">
        <f t="array" ref="J387">INDEX(데이터_new!$D:$D, MATCH(1, (데이터_new!$A:$A=M포인트몰양식!I387)*(데이터_new!$B:$B=M포인트몰양식!J387), 0))</f>
        <v>0</v>
      </c>
    </row>
    <row r="388" spans="9:10">
      <c r="I388" s="6" t="e">
        <f>VLOOKUP(M포인트몰양식!$I388,데이터_new!$A:$D,3,FALSE)</f>
        <v>#N/A</v>
      </c>
      <c r="J388" s="6">
        <f t="array" ref="J388">INDEX(데이터_new!$D:$D, MATCH(1, (데이터_new!$A:$A=M포인트몰양식!I388)*(데이터_new!$B:$B=M포인트몰양식!J388), 0))</f>
        <v>0</v>
      </c>
    </row>
    <row r="389" spans="9:10">
      <c r="I389" s="6" t="e">
        <f>VLOOKUP(M포인트몰양식!$I389,데이터_new!$A:$D,3,FALSE)</f>
        <v>#N/A</v>
      </c>
      <c r="J389" s="6">
        <f t="array" ref="J389">INDEX(데이터_new!$D:$D, MATCH(1, (데이터_new!$A:$A=M포인트몰양식!I389)*(데이터_new!$B:$B=M포인트몰양식!J389), 0))</f>
        <v>0</v>
      </c>
    </row>
    <row r="390" spans="9:10">
      <c r="I390" s="6" t="e">
        <f>VLOOKUP(M포인트몰양식!$I390,데이터_new!$A:$D,3,FALSE)</f>
        <v>#N/A</v>
      </c>
      <c r="J390" s="6">
        <f t="array" ref="J390">INDEX(데이터_new!$D:$D, MATCH(1, (데이터_new!$A:$A=M포인트몰양식!I390)*(데이터_new!$B:$B=M포인트몰양식!J390), 0))</f>
        <v>0</v>
      </c>
    </row>
    <row r="391" spans="9:10">
      <c r="I391" s="6" t="e">
        <f>VLOOKUP(M포인트몰양식!$I391,데이터_new!$A:$D,3,FALSE)</f>
        <v>#N/A</v>
      </c>
      <c r="J391" s="6">
        <f t="array" ref="J391">INDEX(데이터_new!$D:$D, MATCH(1, (데이터_new!$A:$A=M포인트몰양식!I391)*(데이터_new!$B:$B=M포인트몰양식!J391), 0))</f>
        <v>0</v>
      </c>
    </row>
    <row r="392" spans="9:10">
      <c r="I392" s="6" t="e">
        <f>VLOOKUP(M포인트몰양식!$I392,데이터_new!$A:$D,3,FALSE)</f>
        <v>#N/A</v>
      </c>
      <c r="J392" s="6">
        <f t="array" ref="J392">INDEX(데이터_new!$D:$D, MATCH(1, (데이터_new!$A:$A=M포인트몰양식!I392)*(데이터_new!$B:$B=M포인트몰양식!J392), 0))</f>
        <v>0</v>
      </c>
    </row>
    <row r="393" spans="9:10">
      <c r="I393" s="6" t="e">
        <f>VLOOKUP(M포인트몰양식!$I393,데이터_new!$A:$D,3,FALSE)</f>
        <v>#N/A</v>
      </c>
      <c r="J393" s="6">
        <f t="array" ref="J393">INDEX(데이터_new!$D:$D, MATCH(1, (데이터_new!$A:$A=M포인트몰양식!I393)*(데이터_new!$B:$B=M포인트몰양식!J393), 0))</f>
        <v>0</v>
      </c>
    </row>
    <row r="394" spans="9:10">
      <c r="I394" s="6" t="e">
        <f>VLOOKUP(M포인트몰양식!$I394,데이터_new!$A:$D,3,FALSE)</f>
        <v>#N/A</v>
      </c>
      <c r="J394" s="6">
        <f t="array" ref="J394">INDEX(데이터_new!$D:$D, MATCH(1, (데이터_new!$A:$A=M포인트몰양식!I394)*(데이터_new!$B:$B=M포인트몰양식!J394), 0))</f>
        <v>0</v>
      </c>
    </row>
    <row r="395" spans="9:10">
      <c r="I395" s="6" t="e">
        <f>VLOOKUP(M포인트몰양식!$I395,데이터_new!$A:$D,3,FALSE)</f>
        <v>#N/A</v>
      </c>
      <c r="J395" s="6">
        <f t="array" ref="J395">INDEX(데이터_new!$D:$D, MATCH(1, (데이터_new!$A:$A=M포인트몰양식!I395)*(데이터_new!$B:$B=M포인트몰양식!J395), 0))</f>
        <v>0</v>
      </c>
    </row>
    <row r="396" spans="9:10">
      <c r="I396" s="6" t="e">
        <f>VLOOKUP(M포인트몰양식!$I396,데이터_new!$A:$D,3,FALSE)</f>
        <v>#N/A</v>
      </c>
      <c r="J396" s="6">
        <f t="array" ref="J396">INDEX(데이터_new!$D:$D, MATCH(1, (데이터_new!$A:$A=M포인트몰양식!I396)*(데이터_new!$B:$B=M포인트몰양식!J396), 0))</f>
        <v>0</v>
      </c>
    </row>
    <row r="397" spans="9:10">
      <c r="I397" s="6" t="e">
        <f>VLOOKUP(M포인트몰양식!$I397,데이터_new!$A:$D,3,FALSE)</f>
        <v>#N/A</v>
      </c>
      <c r="J397" s="6">
        <f t="array" ref="J397">INDEX(데이터_new!$D:$D, MATCH(1, (데이터_new!$A:$A=M포인트몰양식!I397)*(데이터_new!$B:$B=M포인트몰양식!J397), 0))</f>
        <v>0</v>
      </c>
    </row>
    <row r="398" spans="9:10">
      <c r="I398" s="6" t="e">
        <f>VLOOKUP(M포인트몰양식!$I398,데이터_new!$A:$D,3,FALSE)</f>
        <v>#N/A</v>
      </c>
      <c r="J398" s="6">
        <f t="array" ref="J398">INDEX(데이터_new!$D:$D, MATCH(1, (데이터_new!$A:$A=M포인트몰양식!I398)*(데이터_new!$B:$B=M포인트몰양식!J398), 0))</f>
        <v>0</v>
      </c>
    </row>
    <row r="399" spans="9:10">
      <c r="I399" s="6" t="e">
        <f>VLOOKUP(M포인트몰양식!$I399,데이터_new!$A:$D,3,FALSE)</f>
        <v>#N/A</v>
      </c>
      <c r="J399" s="6">
        <f t="array" ref="J399">INDEX(데이터_new!$D:$D, MATCH(1, (데이터_new!$A:$A=M포인트몰양식!I399)*(데이터_new!$B:$B=M포인트몰양식!J399), 0))</f>
        <v>0</v>
      </c>
    </row>
    <row r="400" spans="9:10">
      <c r="I400" s="6" t="e">
        <f>VLOOKUP(M포인트몰양식!$I400,데이터_new!$A:$D,3,FALSE)</f>
        <v>#N/A</v>
      </c>
      <c r="J400" s="6">
        <f t="array" ref="J400">INDEX(데이터_new!$D:$D, MATCH(1, (데이터_new!$A:$A=M포인트몰양식!I400)*(데이터_new!$B:$B=M포인트몰양식!J400), 0))</f>
        <v>0</v>
      </c>
    </row>
    <row r="401" spans="9:10">
      <c r="I401" s="6" t="e">
        <f>VLOOKUP(M포인트몰양식!$I401,데이터_new!$A:$D,3,FALSE)</f>
        <v>#N/A</v>
      </c>
      <c r="J401" s="6">
        <f t="array" ref="J401">INDEX(데이터_new!$D:$D, MATCH(1, (데이터_new!$A:$A=M포인트몰양식!I401)*(데이터_new!$B:$B=M포인트몰양식!J401), 0))</f>
        <v>0</v>
      </c>
    </row>
    <row r="402" spans="9:10">
      <c r="I402" s="6" t="e">
        <f>VLOOKUP(M포인트몰양식!$I402,데이터_new!$A:$D,3,FALSE)</f>
        <v>#N/A</v>
      </c>
      <c r="J402" s="6">
        <f t="array" ref="J402">INDEX(데이터_new!$D:$D, MATCH(1, (데이터_new!$A:$A=M포인트몰양식!I402)*(데이터_new!$B:$B=M포인트몰양식!J402), 0))</f>
        <v>0</v>
      </c>
    </row>
    <row r="403" spans="9:10">
      <c r="I403" s="6" t="e">
        <f>VLOOKUP(M포인트몰양식!$I403,데이터_new!$A:$D,3,FALSE)</f>
        <v>#N/A</v>
      </c>
      <c r="J403" s="6">
        <f t="array" ref="J403">INDEX(데이터_new!$D:$D, MATCH(1, (데이터_new!$A:$A=M포인트몰양식!I403)*(데이터_new!$B:$B=M포인트몰양식!J403), 0))</f>
        <v>0</v>
      </c>
    </row>
    <row r="404" spans="9:10">
      <c r="I404" s="6" t="e">
        <f>VLOOKUP(M포인트몰양식!$I404,데이터_new!$A:$D,3,FALSE)</f>
        <v>#N/A</v>
      </c>
      <c r="J404" s="6">
        <f t="array" ref="J404">INDEX(데이터_new!$D:$D, MATCH(1, (데이터_new!$A:$A=M포인트몰양식!I404)*(데이터_new!$B:$B=M포인트몰양식!J404), 0))</f>
        <v>0</v>
      </c>
    </row>
    <row r="405" spans="9:10">
      <c r="I405" s="6" t="e">
        <f>VLOOKUP(M포인트몰양식!$I405,데이터_new!$A:$D,3,FALSE)</f>
        <v>#N/A</v>
      </c>
      <c r="J405" s="6">
        <f t="array" ref="J405">INDEX(데이터_new!$D:$D, MATCH(1, (데이터_new!$A:$A=M포인트몰양식!I405)*(데이터_new!$B:$B=M포인트몰양식!J405), 0))</f>
        <v>0</v>
      </c>
    </row>
    <row r="406" spans="9:10">
      <c r="I406" s="6" t="e">
        <f>VLOOKUP(M포인트몰양식!$I406,데이터_new!$A:$D,3,FALSE)</f>
        <v>#N/A</v>
      </c>
      <c r="J406" s="6">
        <f t="array" ref="J406">INDEX(데이터_new!$D:$D, MATCH(1, (데이터_new!$A:$A=M포인트몰양식!I406)*(데이터_new!$B:$B=M포인트몰양식!J406), 0))</f>
        <v>0</v>
      </c>
    </row>
    <row r="407" spans="9:10">
      <c r="I407" s="6" t="e">
        <f>VLOOKUP(M포인트몰양식!$I407,데이터_new!$A:$D,3,FALSE)</f>
        <v>#N/A</v>
      </c>
      <c r="J407" s="6">
        <f t="array" ref="J407">INDEX(데이터_new!$D:$D, MATCH(1, (데이터_new!$A:$A=M포인트몰양식!I407)*(데이터_new!$B:$B=M포인트몰양식!J407), 0))</f>
        <v>0</v>
      </c>
    </row>
    <row r="408" spans="9:10">
      <c r="I408" s="6" t="e">
        <f>VLOOKUP(M포인트몰양식!$I408,데이터_new!$A:$D,3,FALSE)</f>
        <v>#N/A</v>
      </c>
      <c r="J408" s="6">
        <f t="array" ref="J408">INDEX(데이터_new!$D:$D, MATCH(1, (데이터_new!$A:$A=M포인트몰양식!I408)*(데이터_new!$B:$B=M포인트몰양식!J408), 0))</f>
        <v>0</v>
      </c>
    </row>
    <row r="409" spans="9:10">
      <c r="I409" s="6" t="e">
        <f>VLOOKUP(M포인트몰양식!$I409,데이터_new!$A:$D,3,FALSE)</f>
        <v>#N/A</v>
      </c>
      <c r="J409" s="6">
        <f t="array" ref="J409">INDEX(데이터_new!$D:$D, MATCH(1, (데이터_new!$A:$A=M포인트몰양식!I409)*(데이터_new!$B:$B=M포인트몰양식!J409), 0))</f>
        <v>0</v>
      </c>
    </row>
    <row r="410" spans="9:10">
      <c r="I410" s="6" t="e">
        <f>VLOOKUP(M포인트몰양식!$I410,데이터_new!$A:$D,3,FALSE)</f>
        <v>#N/A</v>
      </c>
      <c r="J410" s="6">
        <f t="array" ref="J410">INDEX(데이터_new!$D:$D, MATCH(1, (데이터_new!$A:$A=M포인트몰양식!I410)*(데이터_new!$B:$B=M포인트몰양식!J410), 0))</f>
        <v>0</v>
      </c>
    </row>
    <row r="411" spans="9:10">
      <c r="I411" s="6" t="e">
        <f>VLOOKUP(M포인트몰양식!$I411,데이터_new!$A:$D,3,FALSE)</f>
        <v>#N/A</v>
      </c>
      <c r="J411" s="6">
        <f t="array" ref="J411">INDEX(데이터_new!$D:$D, MATCH(1, (데이터_new!$A:$A=M포인트몰양식!I411)*(데이터_new!$B:$B=M포인트몰양식!J411), 0))</f>
        <v>0</v>
      </c>
    </row>
    <row r="412" spans="9:10">
      <c r="I412" s="6" t="e">
        <f>VLOOKUP(M포인트몰양식!$I412,데이터_new!$A:$D,3,FALSE)</f>
        <v>#N/A</v>
      </c>
      <c r="J412" s="6">
        <f t="array" ref="J412">INDEX(데이터_new!$D:$D, MATCH(1, (데이터_new!$A:$A=M포인트몰양식!I412)*(데이터_new!$B:$B=M포인트몰양식!J412), 0))</f>
        <v>0</v>
      </c>
    </row>
    <row r="413" spans="9:10">
      <c r="I413" s="6" t="e">
        <f>VLOOKUP(M포인트몰양식!$I413,데이터_new!$A:$D,3,FALSE)</f>
        <v>#N/A</v>
      </c>
      <c r="J413" s="6">
        <f t="array" ref="J413">INDEX(데이터_new!$D:$D, MATCH(1, (데이터_new!$A:$A=M포인트몰양식!I413)*(데이터_new!$B:$B=M포인트몰양식!J413), 0))</f>
        <v>0</v>
      </c>
    </row>
    <row r="414" spans="9:10">
      <c r="I414" s="6" t="e">
        <f>VLOOKUP(M포인트몰양식!$I414,데이터_new!$A:$D,3,FALSE)</f>
        <v>#N/A</v>
      </c>
      <c r="J414" s="6">
        <f t="array" ref="J414">INDEX(데이터_new!$D:$D, MATCH(1, (데이터_new!$A:$A=M포인트몰양식!I414)*(데이터_new!$B:$B=M포인트몰양식!J414), 0))</f>
        <v>0</v>
      </c>
    </row>
    <row r="415" spans="9:10">
      <c r="I415" s="6" t="e">
        <f>VLOOKUP(M포인트몰양식!$I415,데이터_new!$A:$D,3,FALSE)</f>
        <v>#N/A</v>
      </c>
      <c r="J415" s="6">
        <f t="array" ref="J415">INDEX(데이터_new!$D:$D, MATCH(1, (데이터_new!$A:$A=M포인트몰양식!I415)*(데이터_new!$B:$B=M포인트몰양식!J415), 0))</f>
        <v>0</v>
      </c>
    </row>
    <row r="416" spans="9:10">
      <c r="I416" s="6" t="e">
        <f>VLOOKUP(M포인트몰양식!$I416,데이터_new!$A:$D,3,FALSE)</f>
        <v>#N/A</v>
      </c>
      <c r="J416" s="6">
        <f t="array" ref="J416">INDEX(데이터_new!$D:$D, MATCH(1, (데이터_new!$A:$A=M포인트몰양식!I416)*(데이터_new!$B:$B=M포인트몰양식!J416), 0))</f>
        <v>0</v>
      </c>
    </row>
    <row r="417" spans="9:10">
      <c r="I417" s="6" t="e">
        <f>VLOOKUP(M포인트몰양식!$I417,데이터_new!$A:$D,3,FALSE)</f>
        <v>#N/A</v>
      </c>
      <c r="J417" s="6">
        <f t="array" ref="J417">INDEX(데이터_new!$D:$D, MATCH(1, (데이터_new!$A:$A=M포인트몰양식!I417)*(데이터_new!$B:$B=M포인트몰양식!J417), 0))</f>
        <v>0</v>
      </c>
    </row>
    <row r="418" spans="9:10">
      <c r="I418" s="6" t="e">
        <f>VLOOKUP(M포인트몰양식!$I418,데이터_new!$A:$D,3,FALSE)</f>
        <v>#N/A</v>
      </c>
      <c r="J418" s="6">
        <f t="array" ref="J418">INDEX(데이터_new!$D:$D, MATCH(1, (데이터_new!$A:$A=M포인트몰양식!I418)*(데이터_new!$B:$B=M포인트몰양식!J418), 0))</f>
        <v>0</v>
      </c>
    </row>
    <row r="419" spans="9:10">
      <c r="I419" s="6" t="e">
        <f>VLOOKUP(M포인트몰양식!$I419,데이터_new!$A:$D,3,FALSE)</f>
        <v>#N/A</v>
      </c>
      <c r="J419" s="6">
        <f t="array" ref="J419">INDEX(데이터_new!$D:$D, MATCH(1, (데이터_new!$A:$A=M포인트몰양식!I419)*(데이터_new!$B:$B=M포인트몰양식!J419), 0))</f>
        <v>0</v>
      </c>
    </row>
    <row r="420" spans="9:10">
      <c r="I420" s="6" t="e">
        <f>VLOOKUP(M포인트몰양식!$I420,데이터_new!$A:$D,3,FALSE)</f>
        <v>#N/A</v>
      </c>
      <c r="J420" s="6">
        <f t="array" ref="J420">INDEX(데이터_new!$D:$D, MATCH(1, (데이터_new!$A:$A=M포인트몰양식!I420)*(데이터_new!$B:$B=M포인트몰양식!J420), 0))</f>
        <v>0</v>
      </c>
    </row>
    <row r="421" spans="9:10">
      <c r="I421" s="6" t="e">
        <f>VLOOKUP(M포인트몰양식!$I421,데이터_new!$A:$D,3,FALSE)</f>
        <v>#N/A</v>
      </c>
      <c r="J421" s="6">
        <f t="array" ref="J421">INDEX(데이터_new!$D:$D, MATCH(1, (데이터_new!$A:$A=M포인트몰양식!I421)*(데이터_new!$B:$B=M포인트몰양식!J421), 0))</f>
        <v>0</v>
      </c>
    </row>
    <row r="422" spans="9:10">
      <c r="I422" s="6" t="e">
        <f>VLOOKUP(M포인트몰양식!$I422,데이터_new!$A:$D,3,FALSE)</f>
        <v>#N/A</v>
      </c>
      <c r="J422" s="6">
        <f t="array" ref="J422">INDEX(데이터_new!$D:$D, MATCH(1, (데이터_new!$A:$A=M포인트몰양식!I422)*(데이터_new!$B:$B=M포인트몰양식!J422), 0))</f>
        <v>0</v>
      </c>
    </row>
    <row r="423" spans="9:10">
      <c r="I423" s="6" t="e">
        <f>VLOOKUP(M포인트몰양식!$I423,데이터_new!$A:$D,3,FALSE)</f>
        <v>#N/A</v>
      </c>
      <c r="J423" s="6">
        <f t="array" ref="J423">INDEX(데이터_new!$D:$D, MATCH(1, (데이터_new!$A:$A=M포인트몰양식!I423)*(데이터_new!$B:$B=M포인트몰양식!J423), 0))</f>
        <v>0</v>
      </c>
    </row>
    <row r="424" spans="9:10">
      <c r="I424" s="6" t="e">
        <f>VLOOKUP(M포인트몰양식!$I424,데이터_new!$A:$D,3,FALSE)</f>
        <v>#N/A</v>
      </c>
      <c r="J424" s="6">
        <f t="array" ref="J424">INDEX(데이터_new!$D:$D, MATCH(1, (데이터_new!$A:$A=M포인트몰양식!I424)*(데이터_new!$B:$B=M포인트몰양식!J424), 0))</f>
        <v>0</v>
      </c>
    </row>
    <row r="425" spans="9:10">
      <c r="I425" s="6" t="e">
        <f>VLOOKUP(M포인트몰양식!$I425,데이터_new!$A:$D,3,FALSE)</f>
        <v>#N/A</v>
      </c>
      <c r="J425" s="6">
        <f t="array" ref="J425">INDEX(데이터_new!$D:$D, MATCH(1, (데이터_new!$A:$A=M포인트몰양식!I425)*(데이터_new!$B:$B=M포인트몰양식!J425), 0))</f>
        <v>0</v>
      </c>
    </row>
    <row r="426" spans="9:10">
      <c r="I426" s="6" t="e">
        <f>VLOOKUP(M포인트몰양식!$I426,데이터_new!$A:$D,3,FALSE)</f>
        <v>#N/A</v>
      </c>
      <c r="J426" s="6">
        <f t="array" ref="J426">INDEX(데이터_new!$D:$D, MATCH(1, (데이터_new!$A:$A=M포인트몰양식!I426)*(데이터_new!$B:$B=M포인트몰양식!J426), 0))</f>
        <v>0</v>
      </c>
    </row>
    <row r="427" spans="9:10">
      <c r="I427" s="6" t="e">
        <f>VLOOKUP(M포인트몰양식!$I427,데이터_new!$A:$D,3,FALSE)</f>
        <v>#N/A</v>
      </c>
      <c r="J427" s="6">
        <f t="array" ref="J427">INDEX(데이터_new!$D:$D, MATCH(1, (데이터_new!$A:$A=M포인트몰양식!I427)*(데이터_new!$B:$B=M포인트몰양식!J427), 0))</f>
        <v>0</v>
      </c>
    </row>
    <row r="428" spans="9:10">
      <c r="I428" s="6" t="e">
        <f>VLOOKUP(M포인트몰양식!$I428,데이터_new!$A:$D,3,FALSE)</f>
        <v>#N/A</v>
      </c>
      <c r="J428" s="6">
        <f t="array" ref="J428">INDEX(데이터_new!$D:$D, MATCH(1, (데이터_new!$A:$A=M포인트몰양식!I428)*(데이터_new!$B:$B=M포인트몰양식!J428), 0))</f>
        <v>0</v>
      </c>
    </row>
    <row r="429" spans="9:10">
      <c r="I429" s="6" t="e">
        <f>VLOOKUP(M포인트몰양식!$I429,데이터_new!$A:$D,3,FALSE)</f>
        <v>#N/A</v>
      </c>
      <c r="J429" s="6">
        <f t="array" ref="J429">INDEX(데이터_new!$D:$D, MATCH(1, (데이터_new!$A:$A=M포인트몰양식!I429)*(데이터_new!$B:$B=M포인트몰양식!J429), 0))</f>
        <v>0</v>
      </c>
    </row>
    <row r="430" spans="9:10">
      <c r="I430" s="6" t="e">
        <f>VLOOKUP(M포인트몰양식!$I430,데이터_new!$A:$D,3,FALSE)</f>
        <v>#N/A</v>
      </c>
      <c r="J430" s="6">
        <f t="array" ref="J430">INDEX(데이터_new!$D:$D, MATCH(1, (데이터_new!$A:$A=M포인트몰양식!I430)*(데이터_new!$B:$B=M포인트몰양식!J430), 0))</f>
        <v>0</v>
      </c>
    </row>
    <row r="431" spans="9:10">
      <c r="I431" s="6" t="e">
        <f>VLOOKUP(M포인트몰양식!$I431,데이터_new!$A:$D,3,FALSE)</f>
        <v>#N/A</v>
      </c>
      <c r="J431" s="6">
        <f t="array" ref="J431">INDEX(데이터_new!$D:$D, MATCH(1, (데이터_new!$A:$A=M포인트몰양식!I431)*(데이터_new!$B:$B=M포인트몰양식!J431), 0))</f>
        <v>0</v>
      </c>
    </row>
    <row r="432" spans="9:10">
      <c r="I432" s="6" t="e">
        <f>VLOOKUP(M포인트몰양식!$I432,데이터_new!$A:$D,3,FALSE)</f>
        <v>#N/A</v>
      </c>
      <c r="J432" s="6">
        <f t="array" ref="J432">INDEX(데이터_new!$D:$D, MATCH(1, (데이터_new!$A:$A=M포인트몰양식!I432)*(데이터_new!$B:$B=M포인트몰양식!J432), 0))</f>
        <v>0</v>
      </c>
    </row>
    <row r="433" spans="9:10">
      <c r="I433" s="6" t="e">
        <f>VLOOKUP(M포인트몰양식!$I433,데이터_new!$A:$D,3,FALSE)</f>
        <v>#N/A</v>
      </c>
      <c r="J433" s="6">
        <f t="array" ref="J433">INDEX(데이터_new!$D:$D, MATCH(1, (데이터_new!$A:$A=M포인트몰양식!I433)*(데이터_new!$B:$B=M포인트몰양식!J433), 0))</f>
        <v>0</v>
      </c>
    </row>
    <row r="434" spans="9:10">
      <c r="I434" s="6" t="e">
        <f>VLOOKUP(M포인트몰양식!$I434,데이터_new!$A:$D,3,FALSE)</f>
        <v>#N/A</v>
      </c>
      <c r="J434" s="6">
        <f t="array" ref="J434">INDEX(데이터_new!$D:$D, MATCH(1, (데이터_new!$A:$A=M포인트몰양식!I434)*(데이터_new!$B:$B=M포인트몰양식!J434), 0))</f>
        <v>0</v>
      </c>
    </row>
    <row r="435" spans="9:10">
      <c r="I435" s="6" t="e">
        <f>VLOOKUP(M포인트몰양식!$I435,데이터_new!$A:$D,3,FALSE)</f>
        <v>#N/A</v>
      </c>
      <c r="J435" s="6">
        <f t="array" ref="J435">INDEX(데이터_new!$D:$D, MATCH(1, (데이터_new!$A:$A=M포인트몰양식!I435)*(데이터_new!$B:$B=M포인트몰양식!J435), 0))</f>
        <v>0</v>
      </c>
    </row>
    <row r="436" spans="9:10">
      <c r="I436" s="6" t="e">
        <f>VLOOKUP(M포인트몰양식!$I436,데이터_new!$A:$D,3,FALSE)</f>
        <v>#N/A</v>
      </c>
      <c r="J436" s="6">
        <f t="array" ref="J436">INDEX(데이터_new!$D:$D, MATCH(1, (데이터_new!$A:$A=M포인트몰양식!I436)*(데이터_new!$B:$B=M포인트몰양식!J436), 0))</f>
        <v>0</v>
      </c>
    </row>
    <row r="437" spans="9:10">
      <c r="I437" s="6" t="e">
        <f>VLOOKUP(M포인트몰양식!$I437,데이터_new!$A:$D,3,FALSE)</f>
        <v>#N/A</v>
      </c>
      <c r="J437" s="6">
        <f t="array" ref="J437">INDEX(데이터_new!$D:$D, MATCH(1, (데이터_new!$A:$A=M포인트몰양식!I437)*(데이터_new!$B:$B=M포인트몰양식!J437), 0))</f>
        <v>0</v>
      </c>
    </row>
    <row r="438" spans="9:10">
      <c r="I438" s="6" t="e">
        <f>VLOOKUP(M포인트몰양식!$I438,데이터_new!$A:$D,3,FALSE)</f>
        <v>#N/A</v>
      </c>
      <c r="J438" s="6">
        <f t="array" ref="J438">INDEX(데이터_new!$D:$D, MATCH(1, (데이터_new!$A:$A=M포인트몰양식!I438)*(데이터_new!$B:$B=M포인트몰양식!J438), 0))</f>
        <v>0</v>
      </c>
    </row>
    <row r="439" spans="9:10">
      <c r="I439" s="6" t="e">
        <f>VLOOKUP(M포인트몰양식!$I439,데이터_new!$A:$D,3,FALSE)</f>
        <v>#N/A</v>
      </c>
      <c r="J439" s="6">
        <f t="array" ref="J439">INDEX(데이터_new!$D:$D, MATCH(1, (데이터_new!$A:$A=M포인트몰양식!I439)*(데이터_new!$B:$B=M포인트몰양식!J439), 0))</f>
        <v>0</v>
      </c>
    </row>
    <row r="440" spans="9:10">
      <c r="I440" s="6" t="e">
        <f>VLOOKUP(M포인트몰양식!$I440,데이터_new!$A:$D,3,FALSE)</f>
        <v>#N/A</v>
      </c>
      <c r="J440" s="6">
        <f t="array" ref="J440">INDEX(데이터_new!$D:$D, MATCH(1, (데이터_new!$A:$A=M포인트몰양식!I440)*(데이터_new!$B:$B=M포인트몰양식!J440), 0))</f>
        <v>0</v>
      </c>
    </row>
    <row r="441" spans="9:10">
      <c r="I441" s="6" t="e">
        <f>VLOOKUP(M포인트몰양식!$I441,데이터_new!$A:$D,3,FALSE)</f>
        <v>#N/A</v>
      </c>
      <c r="J441" s="6">
        <f t="array" ref="J441">INDEX(데이터_new!$D:$D, MATCH(1, (데이터_new!$A:$A=M포인트몰양식!I441)*(데이터_new!$B:$B=M포인트몰양식!J441), 0))</f>
        <v>0</v>
      </c>
    </row>
    <row r="442" spans="9:10">
      <c r="I442" s="6" t="e">
        <f>VLOOKUP(M포인트몰양식!$I442,데이터_new!$A:$D,3,FALSE)</f>
        <v>#N/A</v>
      </c>
      <c r="J442" s="6">
        <f t="array" ref="J442">INDEX(데이터_new!$D:$D, MATCH(1, (데이터_new!$A:$A=M포인트몰양식!I442)*(데이터_new!$B:$B=M포인트몰양식!J442), 0))</f>
        <v>0</v>
      </c>
    </row>
    <row r="443" spans="9:10">
      <c r="I443" s="6" t="e">
        <f>VLOOKUP(M포인트몰양식!$I443,데이터_new!$A:$D,3,FALSE)</f>
        <v>#N/A</v>
      </c>
      <c r="J443" s="6">
        <f t="array" ref="J443">INDEX(데이터_new!$D:$D, MATCH(1, (데이터_new!$A:$A=M포인트몰양식!I443)*(데이터_new!$B:$B=M포인트몰양식!J443), 0))</f>
        <v>0</v>
      </c>
    </row>
    <row r="444" spans="9:10">
      <c r="I444" s="6" t="e">
        <f>VLOOKUP(M포인트몰양식!$I444,데이터_new!$A:$D,3,FALSE)</f>
        <v>#N/A</v>
      </c>
      <c r="J444" s="6">
        <f t="array" ref="J444">INDEX(데이터_new!$D:$D, MATCH(1, (데이터_new!$A:$A=M포인트몰양식!I444)*(데이터_new!$B:$B=M포인트몰양식!J444), 0))</f>
        <v>0</v>
      </c>
    </row>
    <row r="445" spans="9:10">
      <c r="I445" s="6" t="e">
        <f>VLOOKUP(M포인트몰양식!$I445,데이터_new!$A:$D,3,FALSE)</f>
        <v>#N/A</v>
      </c>
      <c r="J445" s="6">
        <f t="array" ref="J445">INDEX(데이터_new!$D:$D, MATCH(1, (데이터_new!$A:$A=M포인트몰양식!I445)*(데이터_new!$B:$B=M포인트몰양식!J445), 0))</f>
        <v>0</v>
      </c>
    </row>
    <row r="446" spans="9:10">
      <c r="I446" s="6" t="e">
        <f>VLOOKUP(M포인트몰양식!$I446,데이터_new!$A:$D,3,FALSE)</f>
        <v>#N/A</v>
      </c>
      <c r="J446" s="6">
        <f t="array" ref="J446">INDEX(데이터_new!$D:$D, MATCH(1, (데이터_new!$A:$A=M포인트몰양식!I446)*(데이터_new!$B:$B=M포인트몰양식!J446), 0))</f>
        <v>0</v>
      </c>
    </row>
    <row r="447" spans="9:10">
      <c r="I447" s="6" t="e">
        <f>VLOOKUP(M포인트몰양식!$I447,데이터_new!$A:$D,3,FALSE)</f>
        <v>#N/A</v>
      </c>
      <c r="J447" s="6">
        <f t="array" ref="J447">INDEX(데이터_new!$D:$D, MATCH(1, (데이터_new!$A:$A=M포인트몰양식!I447)*(데이터_new!$B:$B=M포인트몰양식!J447), 0))</f>
        <v>0</v>
      </c>
    </row>
    <row r="448" spans="9:10">
      <c r="I448" s="6" t="e">
        <f>VLOOKUP(M포인트몰양식!$I448,데이터_new!$A:$D,3,FALSE)</f>
        <v>#N/A</v>
      </c>
      <c r="J448" s="6">
        <f t="array" ref="J448">INDEX(데이터_new!$D:$D, MATCH(1, (데이터_new!$A:$A=M포인트몰양식!I448)*(데이터_new!$B:$B=M포인트몰양식!J448), 0))</f>
        <v>0</v>
      </c>
    </row>
    <row r="449" spans="9:10">
      <c r="I449" s="6" t="e">
        <f>VLOOKUP(M포인트몰양식!$I449,데이터_new!$A:$D,3,FALSE)</f>
        <v>#N/A</v>
      </c>
      <c r="J449" s="6">
        <f t="array" ref="J449">INDEX(데이터_new!$D:$D, MATCH(1, (데이터_new!$A:$A=M포인트몰양식!I449)*(데이터_new!$B:$B=M포인트몰양식!J449), 0))</f>
        <v>0</v>
      </c>
    </row>
    <row r="450" spans="9:10">
      <c r="I450" s="6" t="e">
        <f>VLOOKUP(M포인트몰양식!$I450,데이터_new!$A:$D,3,FALSE)</f>
        <v>#N/A</v>
      </c>
      <c r="J450" s="6">
        <f t="array" ref="J450">INDEX(데이터_new!$D:$D, MATCH(1, (데이터_new!$A:$A=M포인트몰양식!I450)*(데이터_new!$B:$B=M포인트몰양식!J450), 0))</f>
        <v>0</v>
      </c>
    </row>
    <row r="451" spans="9:10">
      <c r="I451" s="6" t="e">
        <f>VLOOKUP(M포인트몰양식!$I451,데이터_new!$A:$D,3,FALSE)</f>
        <v>#N/A</v>
      </c>
      <c r="J451" s="6">
        <f t="array" ref="J451">INDEX(데이터_new!$D:$D, MATCH(1, (데이터_new!$A:$A=M포인트몰양식!I451)*(데이터_new!$B:$B=M포인트몰양식!J451), 0))</f>
        <v>0</v>
      </c>
    </row>
    <row r="452" spans="9:10">
      <c r="I452" s="6" t="e">
        <f>VLOOKUP(M포인트몰양식!$I452,데이터_new!$A:$D,3,FALSE)</f>
        <v>#N/A</v>
      </c>
      <c r="J452" s="6">
        <f t="array" ref="J452">INDEX(데이터_new!$D:$D, MATCH(1, (데이터_new!$A:$A=M포인트몰양식!I452)*(데이터_new!$B:$B=M포인트몰양식!J452), 0))</f>
        <v>0</v>
      </c>
    </row>
    <row r="453" spans="9:10">
      <c r="I453" s="6" t="e">
        <f>VLOOKUP(M포인트몰양식!$I453,데이터_new!$A:$D,3,FALSE)</f>
        <v>#N/A</v>
      </c>
      <c r="J453" s="6">
        <f t="array" ref="J453">INDEX(데이터_new!$D:$D, MATCH(1, (데이터_new!$A:$A=M포인트몰양식!I453)*(데이터_new!$B:$B=M포인트몰양식!J453), 0))</f>
        <v>0</v>
      </c>
    </row>
    <row r="454" spans="9:10">
      <c r="I454" s="6" t="e">
        <f>VLOOKUP(M포인트몰양식!$I454,데이터_new!$A:$D,3,FALSE)</f>
        <v>#N/A</v>
      </c>
      <c r="J454" s="6">
        <f t="array" ref="J454">INDEX(데이터_new!$D:$D, MATCH(1, (데이터_new!$A:$A=M포인트몰양식!I454)*(데이터_new!$B:$B=M포인트몰양식!J454), 0))</f>
        <v>0</v>
      </c>
    </row>
    <row r="455" spans="9:10">
      <c r="I455" s="6" t="e">
        <f>VLOOKUP(M포인트몰양식!$I455,데이터_new!$A:$D,3,FALSE)</f>
        <v>#N/A</v>
      </c>
      <c r="J455" s="6">
        <f t="array" ref="J455">INDEX(데이터_new!$D:$D, MATCH(1, (데이터_new!$A:$A=M포인트몰양식!I455)*(데이터_new!$B:$B=M포인트몰양식!J455), 0))</f>
        <v>0</v>
      </c>
    </row>
    <row r="456" spans="9:10">
      <c r="I456" s="6" t="e">
        <f>VLOOKUP(M포인트몰양식!$I456,데이터_new!$A:$D,3,FALSE)</f>
        <v>#N/A</v>
      </c>
      <c r="J456" s="6">
        <f t="array" ref="J456">INDEX(데이터_new!$D:$D, MATCH(1, (데이터_new!$A:$A=M포인트몰양식!I456)*(데이터_new!$B:$B=M포인트몰양식!J456), 0))</f>
        <v>0</v>
      </c>
    </row>
    <row r="457" spans="9:10">
      <c r="I457" s="6" t="e">
        <f>VLOOKUP(M포인트몰양식!$I457,데이터_new!$A:$D,3,FALSE)</f>
        <v>#N/A</v>
      </c>
      <c r="J457" s="6">
        <f t="array" ref="J457">INDEX(데이터_new!$D:$D, MATCH(1, (데이터_new!$A:$A=M포인트몰양식!I457)*(데이터_new!$B:$B=M포인트몰양식!J457), 0))</f>
        <v>0</v>
      </c>
    </row>
    <row r="458" spans="9:10">
      <c r="I458" s="6" t="e">
        <f>VLOOKUP(M포인트몰양식!$I458,데이터_new!$A:$D,3,FALSE)</f>
        <v>#N/A</v>
      </c>
      <c r="J458" s="6">
        <f t="array" ref="J458">INDEX(데이터_new!$D:$D, MATCH(1, (데이터_new!$A:$A=M포인트몰양식!I458)*(데이터_new!$B:$B=M포인트몰양식!J458), 0))</f>
        <v>0</v>
      </c>
    </row>
    <row r="459" spans="9:10">
      <c r="I459" s="6" t="e">
        <f>VLOOKUP(M포인트몰양식!$I459,데이터_new!$A:$D,3,FALSE)</f>
        <v>#N/A</v>
      </c>
      <c r="J459" s="6">
        <f t="array" ref="J459">INDEX(데이터_new!$D:$D, MATCH(1, (데이터_new!$A:$A=M포인트몰양식!I459)*(데이터_new!$B:$B=M포인트몰양식!J459), 0))</f>
        <v>0</v>
      </c>
    </row>
    <row r="460" spans="9:10">
      <c r="I460" s="6" t="e">
        <f>VLOOKUP(M포인트몰양식!$I460,데이터_new!$A:$D,3,FALSE)</f>
        <v>#N/A</v>
      </c>
      <c r="J460" s="6">
        <f t="array" ref="J460">INDEX(데이터_new!$D:$D, MATCH(1, (데이터_new!$A:$A=M포인트몰양식!I460)*(데이터_new!$B:$B=M포인트몰양식!J460), 0))</f>
        <v>0</v>
      </c>
    </row>
    <row r="461" spans="9:10">
      <c r="I461" s="6" t="e">
        <f>VLOOKUP(M포인트몰양식!$I461,데이터_new!$A:$D,3,FALSE)</f>
        <v>#N/A</v>
      </c>
      <c r="J461" s="6">
        <f t="array" ref="J461">INDEX(데이터_new!$D:$D, MATCH(1, (데이터_new!$A:$A=M포인트몰양식!I461)*(데이터_new!$B:$B=M포인트몰양식!J461), 0))</f>
        <v>0</v>
      </c>
    </row>
    <row r="462" spans="9:10">
      <c r="I462" s="6" t="e">
        <f>VLOOKUP(M포인트몰양식!$I462,데이터_new!$A:$D,3,FALSE)</f>
        <v>#N/A</v>
      </c>
      <c r="J462" s="6">
        <f t="array" ref="J462">INDEX(데이터_new!$D:$D, MATCH(1, (데이터_new!$A:$A=M포인트몰양식!I462)*(데이터_new!$B:$B=M포인트몰양식!J462), 0))</f>
        <v>0</v>
      </c>
    </row>
    <row r="463" spans="9:10">
      <c r="I463" s="6" t="e">
        <f>VLOOKUP(M포인트몰양식!$I463,데이터_new!$A:$D,3,FALSE)</f>
        <v>#N/A</v>
      </c>
      <c r="J463" s="6">
        <f t="array" ref="J463">INDEX(데이터_new!$D:$D, MATCH(1, (데이터_new!$A:$A=M포인트몰양식!I463)*(데이터_new!$B:$B=M포인트몰양식!J463), 0))</f>
        <v>0</v>
      </c>
    </row>
    <row r="464" spans="9:10">
      <c r="I464" s="6" t="e">
        <f>VLOOKUP(M포인트몰양식!$I464,데이터_new!$A:$D,3,FALSE)</f>
        <v>#N/A</v>
      </c>
      <c r="J464" s="6">
        <f t="array" ref="J464">INDEX(데이터_new!$D:$D, MATCH(1, (데이터_new!$A:$A=M포인트몰양식!I464)*(데이터_new!$B:$B=M포인트몰양식!J464), 0))</f>
        <v>0</v>
      </c>
    </row>
    <row r="465" spans="9:10">
      <c r="I465" s="6" t="e">
        <f>VLOOKUP(M포인트몰양식!$I465,데이터_new!$A:$D,3,FALSE)</f>
        <v>#N/A</v>
      </c>
      <c r="J465" s="6">
        <f t="array" ref="J465">INDEX(데이터_new!$D:$D, MATCH(1, (데이터_new!$A:$A=M포인트몰양식!I465)*(데이터_new!$B:$B=M포인트몰양식!J465), 0))</f>
        <v>0</v>
      </c>
    </row>
    <row r="466" spans="9:10">
      <c r="I466" s="6" t="e">
        <f>VLOOKUP(M포인트몰양식!$I466,데이터_new!$A:$D,3,FALSE)</f>
        <v>#N/A</v>
      </c>
      <c r="J466" s="6">
        <f t="array" ref="J466">INDEX(데이터_new!$D:$D, MATCH(1, (데이터_new!$A:$A=M포인트몰양식!I466)*(데이터_new!$B:$B=M포인트몰양식!J466), 0))</f>
        <v>0</v>
      </c>
    </row>
    <row r="467" spans="9:10">
      <c r="I467" s="6" t="e">
        <f>VLOOKUP(M포인트몰양식!$I467,데이터_new!$A:$D,3,FALSE)</f>
        <v>#N/A</v>
      </c>
      <c r="J467" s="6">
        <f t="array" ref="J467">INDEX(데이터_new!$D:$D, MATCH(1, (데이터_new!$A:$A=M포인트몰양식!I467)*(데이터_new!$B:$B=M포인트몰양식!J467), 0))</f>
        <v>0</v>
      </c>
    </row>
    <row r="468" spans="9:10">
      <c r="I468" s="6" t="e">
        <f>VLOOKUP(M포인트몰양식!$I468,데이터_new!$A:$D,3,FALSE)</f>
        <v>#N/A</v>
      </c>
      <c r="J468" s="6">
        <f t="array" ref="J468">INDEX(데이터_new!$D:$D, MATCH(1, (데이터_new!$A:$A=M포인트몰양식!I468)*(데이터_new!$B:$B=M포인트몰양식!J468), 0))</f>
        <v>0</v>
      </c>
    </row>
    <row r="469" spans="9:10">
      <c r="I469" s="6" t="e">
        <f>VLOOKUP(M포인트몰양식!$I469,데이터_new!$A:$D,3,FALSE)</f>
        <v>#N/A</v>
      </c>
      <c r="J469" s="6">
        <f t="array" ref="J469">INDEX(데이터_new!$D:$D, MATCH(1, (데이터_new!$A:$A=M포인트몰양식!I469)*(데이터_new!$B:$B=M포인트몰양식!J469), 0))</f>
        <v>0</v>
      </c>
    </row>
    <row r="470" spans="9:10">
      <c r="I470" s="6" t="e">
        <f>VLOOKUP(M포인트몰양식!$I470,데이터_new!$A:$D,3,FALSE)</f>
        <v>#N/A</v>
      </c>
      <c r="J470" s="6">
        <f t="array" ref="J470">INDEX(데이터_new!$D:$D, MATCH(1, (데이터_new!$A:$A=M포인트몰양식!I470)*(데이터_new!$B:$B=M포인트몰양식!J470), 0))</f>
        <v>0</v>
      </c>
    </row>
    <row r="471" spans="9:10">
      <c r="I471" s="6" t="e">
        <f>VLOOKUP(M포인트몰양식!$I471,데이터_new!$A:$D,3,FALSE)</f>
        <v>#N/A</v>
      </c>
      <c r="J471" s="6">
        <f t="array" ref="J471">INDEX(데이터_new!$D:$D, MATCH(1, (데이터_new!$A:$A=M포인트몰양식!I471)*(데이터_new!$B:$B=M포인트몰양식!J471), 0))</f>
        <v>0</v>
      </c>
    </row>
    <row r="472" spans="9:10">
      <c r="I472" s="6" t="e">
        <f>VLOOKUP(M포인트몰양식!$I472,데이터_new!$A:$D,3,FALSE)</f>
        <v>#N/A</v>
      </c>
      <c r="J472" s="6">
        <f t="array" ref="J472">INDEX(데이터_new!$D:$D, MATCH(1, (데이터_new!$A:$A=M포인트몰양식!I472)*(데이터_new!$B:$B=M포인트몰양식!J472), 0))</f>
        <v>0</v>
      </c>
    </row>
    <row r="473" spans="9:10">
      <c r="I473" s="6" t="e">
        <f>VLOOKUP(M포인트몰양식!$I473,데이터_new!$A:$D,3,FALSE)</f>
        <v>#N/A</v>
      </c>
      <c r="J473" s="6">
        <f t="array" ref="J473">INDEX(데이터_new!$D:$D, MATCH(1, (데이터_new!$A:$A=M포인트몰양식!I473)*(데이터_new!$B:$B=M포인트몰양식!J473), 0))</f>
        <v>0</v>
      </c>
    </row>
    <row r="474" spans="9:10">
      <c r="I474" s="6" t="e">
        <f>VLOOKUP(M포인트몰양식!$I474,데이터_new!$A:$D,3,FALSE)</f>
        <v>#N/A</v>
      </c>
      <c r="J474" s="6">
        <f t="array" ref="J474">INDEX(데이터_new!$D:$D, MATCH(1, (데이터_new!$A:$A=M포인트몰양식!I474)*(데이터_new!$B:$B=M포인트몰양식!J474), 0))</f>
        <v>0</v>
      </c>
    </row>
    <row r="475" spans="9:10">
      <c r="I475" s="6" t="e">
        <f>VLOOKUP(M포인트몰양식!$I475,데이터_new!$A:$D,3,FALSE)</f>
        <v>#N/A</v>
      </c>
      <c r="J475" s="6">
        <f t="array" ref="J475">INDEX(데이터_new!$D:$D, MATCH(1, (데이터_new!$A:$A=M포인트몰양식!I475)*(데이터_new!$B:$B=M포인트몰양식!J475), 0))</f>
        <v>0</v>
      </c>
    </row>
    <row r="476" spans="9:10">
      <c r="I476" s="6" t="e">
        <f>VLOOKUP(M포인트몰양식!$I476,데이터_new!$A:$D,3,FALSE)</f>
        <v>#N/A</v>
      </c>
      <c r="J476" s="6">
        <f t="array" ref="J476">INDEX(데이터_new!$D:$D, MATCH(1, (데이터_new!$A:$A=M포인트몰양식!I476)*(데이터_new!$B:$B=M포인트몰양식!J476), 0))</f>
        <v>0</v>
      </c>
    </row>
    <row r="477" spans="9:10">
      <c r="I477" s="6" t="e">
        <f>VLOOKUP(M포인트몰양식!$I477,데이터_new!$A:$D,3,FALSE)</f>
        <v>#N/A</v>
      </c>
      <c r="J477" s="6">
        <f t="array" ref="J477">INDEX(데이터_new!$D:$D, MATCH(1, (데이터_new!$A:$A=M포인트몰양식!I477)*(데이터_new!$B:$B=M포인트몰양식!J477), 0))</f>
        <v>0</v>
      </c>
    </row>
    <row r="478" spans="9:10">
      <c r="I478" s="6" t="e">
        <f>VLOOKUP(M포인트몰양식!$I478,데이터_new!$A:$D,3,FALSE)</f>
        <v>#N/A</v>
      </c>
      <c r="J478" s="6">
        <f t="array" ref="J478">INDEX(데이터_new!$D:$D, MATCH(1, (데이터_new!$A:$A=M포인트몰양식!I478)*(데이터_new!$B:$B=M포인트몰양식!J478), 0))</f>
        <v>0</v>
      </c>
    </row>
    <row r="479" spans="9:10">
      <c r="I479" s="6" t="e">
        <f>VLOOKUP(M포인트몰양식!$I479,데이터_new!$A:$D,3,FALSE)</f>
        <v>#N/A</v>
      </c>
      <c r="J479" s="6">
        <f t="array" ref="J479">INDEX(데이터_new!$D:$D, MATCH(1, (데이터_new!$A:$A=M포인트몰양식!I479)*(데이터_new!$B:$B=M포인트몰양식!J479), 0))</f>
        <v>0</v>
      </c>
    </row>
    <row r="480" spans="9:10">
      <c r="I480" s="6" t="e">
        <f>VLOOKUP(M포인트몰양식!$I480,데이터_new!$A:$D,3,FALSE)</f>
        <v>#N/A</v>
      </c>
      <c r="J480" s="6">
        <f t="array" ref="J480">INDEX(데이터_new!$D:$D, MATCH(1, (데이터_new!$A:$A=M포인트몰양식!I480)*(데이터_new!$B:$B=M포인트몰양식!J480), 0))</f>
        <v>0</v>
      </c>
    </row>
    <row r="481" spans="9:10">
      <c r="I481" s="6" t="e">
        <f>VLOOKUP(M포인트몰양식!$I481,데이터_new!$A:$D,3,FALSE)</f>
        <v>#N/A</v>
      </c>
      <c r="J481" s="6">
        <f t="array" ref="J481">INDEX(데이터_new!$D:$D, MATCH(1, (데이터_new!$A:$A=M포인트몰양식!I481)*(데이터_new!$B:$B=M포인트몰양식!J481), 0))</f>
        <v>0</v>
      </c>
    </row>
    <row r="482" spans="9:10">
      <c r="I482" s="6" t="e">
        <f>VLOOKUP(M포인트몰양식!$I482,데이터_new!$A:$D,3,FALSE)</f>
        <v>#N/A</v>
      </c>
      <c r="J482" s="6">
        <f t="array" ref="J482">INDEX(데이터_new!$D:$D, MATCH(1, (데이터_new!$A:$A=M포인트몰양식!I482)*(데이터_new!$B:$B=M포인트몰양식!J482), 0))</f>
        <v>0</v>
      </c>
    </row>
    <row r="483" spans="9:10">
      <c r="I483" s="6" t="e">
        <f>VLOOKUP(M포인트몰양식!$I483,데이터_new!$A:$D,3,FALSE)</f>
        <v>#N/A</v>
      </c>
      <c r="J483" s="6">
        <f t="array" ref="J483">INDEX(데이터_new!$D:$D, MATCH(1, (데이터_new!$A:$A=M포인트몰양식!I483)*(데이터_new!$B:$B=M포인트몰양식!J483), 0))</f>
        <v>0</v>
      </c>
    </row>
    <row r="484" spans="9:10">
      <c r="I484" s="6" t="e">
        <f>VLOOKUP(M포인트몰양식!$I484,데이터_new!$A:$D,3,FALSE)</f>
        <v>#N/A</v>
      </c>
      <c r="J484" s="6">
        <f t="array" ref="J484">INDEX(데이터_new!$D:$D, MATCH(1, (데이터_new!$A:$A=M포인트몰양식!I484)*(데이터_new!$B:$B=M포인트몰양식!J484), 0))</f>
        <v>0</v>
      </c>
    </row>
    <row r="485" spans="9:10">
      <c r="I485" s="6" t="e">
        <f>VLOOKUP(M포인트몰양식!$I485,데이터_new!$A:$D,3,FALSE)</f>
        <v>#N/A</v>
      </c>
      <c r="J485" s="6">
        <f t="array" ref="J485">INDEX(데이터_new!$D:$D, MATCH(1, (데이터_new!$A:$A=M포인트몰양식!I485)*(데이터_new!$B:$B=M포인트몰양식!J485), 0))</f>
        <v>0</v>
      </c>
    </row>
    <row r="486" spans="9:10">
      <c r="I486" s="6" t="e">
        <f>VLOOKUP(M포인트몰양식!$I486,데이터_new!$A:$D,3,FALSE)</f>
        <v>#N/A</v>
      </c>
      <c r="J486" s="6">
        <f t="array" ref="J486">INDEX(데이터_new!$D:$D, MATCH(1, (데이터_new!$A:$A=M포인트몰양식!I486)*(데이터_new!$B:$B=M포인트몰양식!J486), 0))</f>
        <v>0</v>
      </c>
    </row>
    <row r="487" spans="9:10">
      <c r="I487" s="6" t="e">
        <f>VLOOKUP(M포인트몰양식!$I487,데이터_new!$A:$D,3,FALSE)</f>
        <v>#N/A</v>
      </c>
      <c r="J487" s="6">
        <f t="array" ref="J487">INDEX(데이터_new!$D:$D, MATCH(1, (데이터_new!$A:$A=M포인트몰양식!I487)*(데이터_new!$B:$B=M포인트몰양식!J487), 0))</f>
        <v>0</v>
      </c>
    </row>
    <row r="488" spans="9:10">
      <c r="I488" s="6" t="e">
        <f>VLOOKUP(M포인트몰양식!$I488,데이터_new!$A:$D,3,FALSE)</f>
        <v>#N/A</v>
      </c>
      <c r="J488" s="6">
        <f t="array" ref="J488">INDEX(데이터_new!$D:$D, MATCH(1, (데이터_new!$A:$A=M포인트몰양식!I488)*(데이터_new!$B:$B=M포인트몰양식!J488), 0))</f>
        <v>0</v>
      </c>
    </row>
    <row r="489" spans="9:10">
      <c r="I489" s="6" t="e">
        <f>VLOOKUP(M포인트몰양식!$I489,데이터_new!$A:$D,3,FALSE)</f>
        <v>#N/A</v>
      </c>
      <c r="J489" s="6">
        <f t="array" ref="J489">INDEX(데이터_new!$D:$D, MATCH(1, (데이터_new!$A:$A=M포인트몰양식!I489)*(데이터_new!$B:$B=M포인트몰양식!J489), 0))</f>
        <v>0</v>
      </c>
    </row>
    <row r="490" spans="9:10">
      <c r="I490" s="6" t="e">
        <f>VLOOKUP(M포인트몰양식!$I490,데이터_new!$A:$D,3,FALSE)</f>
        <v>#N/A</v>
      </c>
      <c r="J490" s="6">
        <f t="array" ref="J490">INDEX(데이터_new!$D:$D, MATCH(1, (데이터_new!$A:$A=M포인트몰양식!I490)*(데이터_new!$B:$B=M포인트몰양식!J490), 0))</f>
        <v>0</v>
      </c>
    </row>
    <row r="491" spans="9:10">
      <c r="I491" s="6" t="e">
        <f>VLOOKUP(M포인트몰양식!$I491,데이터_new!$A:$D,3,FALSE)</f>
        <v>#N/A</v>
      </c>
      <c r="J491" s="6">
        <f t="array" ref="J491">INDEX(데이터_new!$D:$D, MATCH(1, (데이터_new!$A:$A=M포인트몰양식!I491)*(데이터_new!$B:$B=M포인트몰양식!J491), 0))</f>
        <v>0</v>
      </c>
    </row>
    <row r="492" spans="9:10">
      <c r="I492" s="6" t="e">
        <f>VLOOKUP(M포인트몰양식!$I492,데이터_new!$A:$D,3,FALSE)</f>
        <v>#N/A</v>
      </c>
      <c r="J492" s="6">
        <f t="array" ref="J492">INDEX(데이터_new!$D:$D, MATCH(1, (데이터_new!$A:$A=M포인트몰양식!I492)*(데이터_new!$B:$B=M포인트몰양식!J492), 0))</f>
        <v>0</v>
      </c>
    </row>
    <row r="493" spans="9:10">
      <c r="I493" s="6" t="e">
        <f>VLOOKUP(M포인트몰양식!$I493,데이터_new!$A:$D,3,FALSE)</f>
        <v>#N/A</v>
      </c>
      <c r="J493" s="6">
        <f t="array" ref="J493">INDEX(데이터_new!$D:$D, MATCH(1, (데이터_new!$A:$A=M포인트몰양식!I493)*(데이터_new!$B:$B=M포인트몰양식!J493), 0))</f>
        <v>0</v>
      </c>
    </row>
    <row r="494" spans="9:10">
      <c r="I494" s="6" t="e">
        <f>VLOOKUP(M포인트몰양식!$I494,데이터_new!$A:$D,3,FALSE)</f>
        <v>#N/A</v>
      </c>
      <c r="J494" s="6">
        <f t="array" ref="J494">INDEX(데이터_new!$D:$D, MATCH(1, (데이터_new!$A:$A=M포인트몰양식!I494)*(데이터_new!$B:$B=M포인트몰양식!J494), 0))</f>
        <v>0</v>
      </c>
    </row>
    <row r="495" spans="9:10">
      <c r="I495" s="6" t="e">
        <f>VLOOKUP(M포인트몰양식!$I495,데이터_new!$A:$D,3,FALSE)</f>
        <v>#N/A</v>
      </c>
      <c r="J495" s="6">
        <f t="array" ref="J495">INDEX(데이터_new!$D:$D, MATCH(1, (데이터_new!$A:$A=M포인트몰양식!I495)*(데이터_new!$B:$B=M포인트몰양식!J495), 0))</f>
        <v>0</v>
      </c>
    </row>
    <row r="496" spans="9:10">
      <c r="I496" s="6" t="e">
        <f>VLOOKUP(M포인트몰양식!$I496,데이터_new!$A:$D,3,FALSE)</f>
        <v>#N/A</v>
      </c>
      <c r="J496" s="6">
        <f t="array" ref="J496">INDEX(데이터_new!$D:$D, MATCH(1, (데이터_new!$A:$A=M포인트몰양식!I496)*(데이터_new!$B:$B=M포인트몰양식!J496), 0))</f>
        <v>0</v>
      </c>
    </row>
    <row r="497" spans="9:10">
      <c r="I497" s="6" t="e">
        <f>VLOOKUP(M포인트몰양식!$I497,데이터_new!$A:$D,3,FALSE)</f>
        <v>#N/A</v>
      </c>
      <c r="J497" s="6">
        <f t="array" ref="J497">INDEX(데이터_new!$D:$D, MATCH(1, (데이터_new!$A:$A=M포인트몰양식!I497)*(데이터_new!$B:$B=M포인트몰양식!J497), 0))</f>
        <v>0</v>
      </c>
    </row>
    <row r="498" spans="9:10">
      <c r="I498" s="6" t="e">
        <f>VLOOKUP(M포인트몰양식!$I498,데이터_new!$A:$D,3,FALSE)</f>
        <v>#N/A</v>
      </c>
      <c r="J498" s="6">
        <f t="array" ref="J498">INDEX(데이터_new!$D:$D, MATCH(1, (데이터_new!$A:$A=M포인트몰양식!I498)*(데이터_new!$B:$B=M포인트몰양식!J498), 0))</f>
        <v>0</v>
      </c>
    </row>
    <row r="499" spans="9:10">
      <c r="I499" s="6" t="e">
        <f>VLOOKUP(M포인트몰양식!$I499,데이터_new!$A:$D,3,FALSE)</f>
        <v>#N/A</v>
      </c>
      <c r="J499" s="6">
        <f t="array" ref="J499">INDEX(데이터_new!$D:$D, MATCH(1, (데이터_new!$A:$A=M포인트몰양식!I499)*(데이터_new!$B:$B=M포인트몰양식!J499), 0))</f>
        <v>0</v>
      </c>
    </row>
    <row r="500" spans="9:10">
      <c r="I500" s="6" t="e">
        <f>VLOOKUP(M포인트몰양식!$I500,데이터_new!$A:$D,3,FALSE)</f>
        <v>#N/A</v>
      </c>
      <c r="J500" s="6">
        <f t="array" ref="J500">INDEX(데이터_new!$D:$D, MATCH(1, (데이터_new!$A:$A=M포인트몰양식!I500)*(데이터_new!$B:$B=M포인트몰양식!J500), 0))</f>
        <v>0</v>
      </c>
    </row>
    <row r="501" spans="9:10">
      <c r="I501"/>
      <c r="J501"/>
    </row>
    <row r="502" spans="9:10">
      <c r="I502"/>
      <c r="J502"/>
    </row>
    <row r="503" spans="9:10">
      <c r="I503"/>
      <c r="J503"/>
    </row>
    <row r="504" spans="9:10">
      <c r="I504"/>
      <c r="J504"/>
    </row>
    <row r="505" spans="9:10">
      <c r="I505"/>
      <c r="J505"/>
    </row>
    <row r="506" spans="9:10">
      <c r="I506"/>
      <c r="J506"/>
    </row>
    <row r="507" spans="9:10">
      <c r="I507"/>
      <c r="J507"/>
    </row>
    <row r="508" spans="9:10">
      <c r="I508"/>
      <c r="J508"/>
    </row>
    <row r="509" spans="9:10">
      <c r="I509"/>
      <c r="J509"/>
    </row>
    <row r="510" spans="9:10">
      <c r="I510"/>
      <c r="J510"/>
    </row>
    <row r="511" spans="9:10">
      <c r="I511"/>
      <c r="J511"/>
    </row>
    <row r="512" spans="9:10">
      <c r="I512"/>
      <c r="J512"/>
    </row>
    <row r="513" spans="9:10">
      <c r="I513"/>
      <c r="J513"/>
    </row>
    <row r="514" spans="9:10">
      <c r="I514"/>
      <c r="J514"/>
    </row>
    <row r="515" spans="9:10">
      <c r="I515"/>
      <c r="J515"/>
    </row>
    <row r="516" spans="9:10">
      <c r="I516"/>
      <c r="J516"/>
    </row>
    <row r="517" spans="9:10">
      <c r="I517"/>
      <c r="J517"/>
    </row>
    <row r="518" spans="9:10">
      <c r="I518"/>
      <c r="J518"/>
    </row>
    <row r="519" spans="9:10">
      <c r="I519"/>
      <c r="J519"/>
    </row>
    <row r="520" spans="9:10">
      <c r="I520"/>
      <c r="J520"/>
    </row>
    <row r="521" spans="9:10">
      <c r="I521"/>
      <c r="J521"/>
    </row>
    <row r="522" spans="9:10">
      <c r="I522"/>
      <c r="J522"/>
    </row>
    <row r="523" spans="9:10">
      <c r="I523"/>
      <c r="J523"/>
    </row>
    <row r="524" spans="9:10">
      <c r="I524"/>
      <c r="J524"/>
    </row>
    <row r="525" spans="9:10">
      <c r="I525"/>
      <c r="J525"/>
    </row>
    <row r="526" spans="9:10">
      <c r="I526"/>
      <c r="J526"/>
    </row>
    <row r="527" spans="9:10">
      <c r="I527"/>
      <c r="J527"/>
    </row>
    <row r="528" spans="9:10">
      <c r="I528"/>
      <c r="J528"/>
    </row>
    <row r="529" spans="9:10">
      <c r="I529"/>
      <c r="J529"/>
    </row>
    <row r="530" spans="9:10">
      <c r="I530"/>
      <c r="J530"/>
    </row>
    <row r="531" spans="9:10">
      <c r="I531"/>
      <c r="J531"/>
    </row>
    <row r="532" spans="9:10">
      <c r="I532"/>
      <c r="J532"/>
    </row>
    <row r="533" spans="9:10">
      <c r="I533"/>
      <c r="J533"/>
    </row>
    <row r="534" spans="9:10">
      <c r="I534"/>
      <c r="J534"/>
    </row>
    <row r="535" spans="9:10">
      <c r="I535"/>
      <c r="J535"/>
    </row>
    <row r="536" spans="9:10">
      <c r="I536"/>
      <c r="J536"/>
    </row>
    <row r="537" spans="9:10">
      <c r="I537"/>
      <c r="J537"/>
    </row>
    <row r="538" spans="9:10">
      <c r="I538"/>
      <c r="J538"/>
    </row>
    <row r="539" spans="9:10">
      <c r="I539"/>
      <c r="J539"/>
    </row>
    <row r="540" spans="9:10">
      <c r="I540"/>
      <c r="J540"/>
    </row>
    <row r="541" spans="9:10">
      <c r="I541"/>
      <c r="J541"/>
    </row>
    <row r="542" spans="9:10">
      <c r="I542"/>
      <c r="J542"/>
    </row>
    <row r="543" spans="9:10">
      <c r="I543"/>
      <c r="J543"/>
    </row>
    <row r="544" spans="9:10">
      <c r="I544"/>
      <c r="J544"/>
    </row>
    <row r="545" spans="9:10">
      <c r="I545"/>
      <c r="J545"/>
    </row>
    <row r="546" spans="9:10">
      <c r="I546"/>
      <c r="J546"/>
    </row>
    <row r="547" spans="9:10">
      <c r="I547"/>
      <c r="J547"/>
    </row>
    <row r="548" spans="9:10">
      <c r="I548"/>
      <c r="J548"/>
    </row>
    <row r="549" spans="9:10">
      <c r="I549"/>
      <c r="J549"/>
    </row>
    <row r="550" spans="9:10">
      <c r="I550"/>
      <c r="J550"/>
    </row>
    <row r="551" spans="9:10">
      <c r="I551"/>
      <c r="J551"/>
    </row>
    <row r="552" spans="9:10">
      <c r="I552"/>
      <c r="J552"/>
    </row>
    <row r="553" spans="9:10">
      <c r="I553"/>
      <c r="J553"/>
    </row>
    <row r="554" spans="9:10">
      <c r="I554"/>
      <c r="J554"/>
    </row>
    <row r="555" spans="9:10">
      <c r="I555"/>
      <c r="J555"/>
    </row>
    <row r="556" spans="9:10">
      <c r="I556"/>
      <c r="J556"/>
    </row>
    <row r="557" spans="9:10">
      <c r="I557"/>
      <c r="J557"/>
    </row>
    <row r="558" spans="9:10">
      <c r="I558"/>
      <c r="J558"/>
    </row>
    <row r="559" spans="9:10">
      <c r="I559"/>
      <c r="J559"/>
    </row>
    <row r="560" spans="9:10">
      <c r="I560"/>
      <c r="J560"/>
    </row>
    <row r="561" spans="9:10">
      <c r="I561"/>
      <c r="J561"/>
    </row>
    <row r="562" spans="9:10">
      <c r="I562"/>
      <c r="J562"/>
    </row>
    <row r="563" spans="9:10">
      <c r="I563"/>
      <c r="J563"/>
    </row>
    <row r="564" spans="9:10">
      <c r="I564"/>
      <c r="J564"/>
    </row>
    <row r="565" spans="9:10">
      <c r="I565"/>
      <c r="J565"/>
    </row>
    <row r="566" spans="9:10">
      <c r="I566"/>
      <c r="J566"/>
    </row>
    <row r="567" spans="9:10">
      <c r="I567"/>
      <c r="J567"/>
    </row>
    <row r="568" spans="9:10">
      <c r="I568"/>
      <c r="J568"/>
    </row>
    <row r="569" spans="9:10">
      <c r="I569"/>
      <c r="J569"/>
    </row>
    <row r="570" spans="9:10">
      <c r="I570"/>
      <c r="J570"/>
    </row>
    <row r="571" spans="9:10">
      <c r="I571"/>
      <c r="J571"/>
    </row>
    <row r="572" spans="9:10">
      <c r="I572"/>
      <c r="J572"/>
    </row>
    <row r="573" spans="9:10">
      <c r="I573"/>
      <c r="J573"/>
    </row>
    <row r="574" spans="9:10">
      <c r="I574"/>
      <c r="J574"/>
    </row>
    <row r="575" spans="9:10">
      <c r="I575"/>
      <c r="J575"/>
    </row>
    <row r="576" spans="9:10">
      <c r="I576"/>
      <c r="J576"/>
    </row>
    <row r="577" spans="9:10">
      <c r="I577"/>
      <c r="J577"/>
    </row>
    <row r="578" spans="9:10">
      <c r="I578"/>
      <c r="J578"/>
    </row>
    <row r="579" spans="9:10">
      <c r="I579"/>
      <c r="J579"/>
    </row>
    <row r="580" spans="9:10">
      <c r="I580"/>
      <c r="J580"/>
    </row>
    <row r="581" spans="9:10">
      <c r="I581"/>
      <c r="J581"/>
    </row>
    <row r="582" spans="9:10">
      <c r="I582"/>
      <c r="J582"/>
    </row>
    <row r="583" spans="9:10">
      <c r="I583"/>
      <c r="J583"/>
    </row>
    <row r="584" spans="9:10">
      <c r="I584"/>
      <c r="J584"/>
    </row>
    <row r="585" spans="9:10">
      <c r="I585"/>
      <c r="J585"/>
    </row>
    <row r="586" spans="9:10">
      <c r="I586"/>
      <c r="J586"/>
    </row>
    <row r="587" spans="9:10">
      <c r="I587"/>
      <c r="J587"/>
    </row>
    <row r="588" spans="9:10">
      <c r="I588"/>
      <c r="J588"/>
    </row>
    <row r="589" spans="9:10">
      <c r="I589"/>
      <c r="J589"/>
    </row>
    <row r="590" spans="9:10">
      <c r="I590"/>
      <c r="J590"/>
    </row>
    <row r="591" spans="9:10">
      <c r="I591"/>
      <c r="J591"/>
    </row>
    <row r="592" spans="9:10">
      <c r="I592"/>
      <c r="J592"/>
    </row>
    <row r="593" spans="9:10">
      <c r="I593"/>
      <c r="J593"/>
    </row>
    <row r="594" spans="9:10">
      <c r="I594"/>
      <c r="J594"/>
    </row>
    <row r="595" spans="9:10">
      <c r="I595"/>
      <c r="J595"/>
    </row>
    <row r="596" spans="9:10">
      <c r="I596"/>
      <c r="J596"/>
    </row>
    <row r="597" spans="9:10">
      <c r="I597"/>
      <c r="J597"/>
    </row>
    <row r="598" spans="9:10">
      <c r="I598"/>
      <c r="J598"/>
    </row>
    <row r="599" spans="9:10">
      <c r="I599"/>
      <c r="J599"/>
    </row>
    <row r="600" spans="9:10">
      <c r="I600"/>
      <c r="J600"/>
    </row>
    <row r="601" spans="9:10">
      <c r="I601"/>
      <c r="J601"/>
    </row>
    <row r="602" spans="9:10">
      <c r="I602"/>
      <c r="J602"/>
    </row>
    <row r="603" spans="9:10">
      <c r="I603"/>
      <c r="J603"/>
    </row>
    <row r="604" spans="9:10">
      <c r="I604"/>
      <c r="J604"/>
    </row>
    <row r="605" spans="9:10">
      <c r="I605"/>
      <c r="J605"/>
    </row>
    <row r="606" spans="9:10">
      <c r="I606"/>
      <c r="J606"/>
    </row>
    <row r="607" spans="9:10">
      <c r="I607"/>
      <c r="J607"/>
    </row>
    <row r="608" spans="9:10">
      <c r="I608"/>
      <c r="J608"/>
    </row>
    <row r="609" spans="9:10">
      <c r="I609"/>
      <c r="J609"/>
    </row>
    <row r="610" spans="9:10">
      <c r="I610"/>
      <c r="J610"/>
    </row>
    <row r="611" spans="9:10">
      <c r="I611"/>
      <c r="J611"/>
    </row>
    <row r="612" spans="9:10">
      <c r="I612"/>
      <c r="J612"/>
    </row>
    <row r="613" spans="9:10">
      <c r="I613"/>
      <c r="J613"/>
    </row>
    <row r="614" spans="9:10">
      <c r="I614"/>
      <c r="J614"/>
    </row>
    <row r="615" spans="9:10">
      <c r="I615"/>
      <c r="J615"/>
    </row>
    <row r="616" spans="9:10">
      <c r="I616"/>
      <c r="J616"/>
    </row>
    <row r="617" spans="9:10">
      <c r="I617"/>
      <c r="J617"/>
    </row>
    <row r="618" spans="9:10">
      <c r="I618"/>
      <c r="J618"/>
    </row>
    <row r="619" spans="9:10">
      <c r="I619"/>
      <c r="J619"/>
    </row>
    <row r="620" spans="9:10">
      <c r="I620"/>
      <c r="J620"/>
    </row>
    <row r="621" spans="9:10">
      <c r="I621"/>
      <c r="J621"/>
    </row>
    <row r="622" spans="9:10">
      <c r="I622"/>
      <c r="J622"/>
    </row>
    <row r="623" spans="9:10">
      <c r="I623"/>
      <c r="J623"/>
    </row>
    <row r="624" spans="9:10">
      <c r="I624"/>
      <c r="J624"/>
    </row>
    <row r="625" spans="9:10">
      <c r="I625"/>
      <c r="J625"/>
    </row>
    <row r="626" spans="9:10">
      <c r="I626"/>
      <c r="J626"/>
    </row>
    <row r="627" spans="9:10">
      <c r="I627"/>
      <c r="J627"/>
    </row>
    <row r="628" spans="9:10">
      <c r="I628"/>
      <c r="J628"/>
    </row>
    <row r="629" spans="9:10">
      <c r="I629"/>
      <c r="J629"/>
    </row>
    <row r="630" spans="9:10">
      <c r="I630"/>
      <c r="J630"/>
    </row>
    <row r="631" spans="9:10">
      <c r="I631"/>
      <c r="J631"/>
    </row>
    <row r="632" spans="9:10">
      <c r="I632"/>
      <c r="J632"/>
    </row>
    <row r="633" spans="9:10">
      <c r="I633"/>
      <c r="J633"/>
    </row>
    <row r="634" spans="9:10">
      <c r="I634"/>
      <c r="J634"/>
    </row>
    <row r="635" spans="9:10">
      <c r="I635"/>
      <c r="J635"/>
    </row>
    <row r="636" spans="9:10">
      <c r="I636"/>
      <c r="J636"/>
    </row>
    <row r="637" spans="9:10">
      <c r="I637"/>
      <c r="J637"/>
    </row>
    <row r="638" spans="9:10">
      <c r="I638"/>
      <c r="J638"/>
    </row>
    <row r="639" spans="9:10">
      <c r="I639"/>
      <c r="J639"/>
    </row>
    <row r="640" spans="9:10">
      <c r="I640"/>
      <c r="J640"/>
    </row>
    <row r="641" spans="9:10">
      <c r="I641"/>
      <c r="J641"/>
    </row>
    <row r="642" spans="9:10">
      <c r="I642"/>
      <c r="J642"/>
    </row>
    <row r="643" spans="9:10">
      <c r="I643"/>
      <c r="J643"/>
    </row>
    <row r="644" spans="9:10">
      <c r="I644"/>
      <c r="J644"/>
    </row>
    <row r="645" spans="9:10">
      <c r="I645"/>
      <c r="J645"/>
    </row>
    <row r="646" spans="9:10">
      <c r="I646"/>
      <c r="J646"/>
    </row>
    <row r="647" spans="9:10">
      <c r="I647"/>
      <c r="J647"/>
    </row>
    <row r="648" spans="9:10">
      <c r="I648"/>
      <c r="J648"/>
    </row>
    <row r="649" spans="9:10">
      <c r="I649"/>
      <c r="J649"/>
    </row>
    <row r="650" spans="9:10">
      <c r="I650"/>
      <c r="J650"/>
    </row>
    <row r="651" spans="9:10">
      <c r="I651"/>
      <c r="J651"/>
    </row>
    <row r="652" spans="9:10">
      <c r="I652"/>
      <c r="J652"/>
    </row>
    <row r="653" spans="9:10">
      <c r="I653"/>
      <c r="J653"/>
    </row>
    <row r="654" spans="9:10">
      <c r="I654"/>
      <c r="J654"/>
    </row>
    <row r="655" spans="9:10">
      <c r="I655"/>
      <c r="J655"/>
    </row>
    <row r="656" spans="9:10">
      <c r="I656"/>
      <c r="J656"/>
    </row>
    <row r="657" spans="9:10">
      <c r="I657"/>
      <c r="J657"/>
    </row>
    <row r="658" spans="9:10">
      <c r="I658"/>
      <c r="J658"/>
    </row>
    <row r="659" spans="9:10">
      <c r="I659"/>
      <c r="J659"/>
    </row>
    <row r="660" spans="9:10">
      <c r="I660"/>
      <c r="J660"/>
    </row>
    <row r="661" spans="9:10">
      <c r="I661"/>
      <c r="J661"/>
    </row>
    <row r="662" spans="9:10">
      <c r="I662"/>
      <c r="J662"/>
    </row>
    <row r="663" spans="9:10">
      <c r="I663"/>
      <c r="J663"/>
    </row>
    <row r="664" spans="9:10">
      <c r="I664"/>
      <c r="J664"/>
    </row>
    <row r="665" spans="9:10">
      <c r="I665"/>
      <c r="J665"/>
    </row>
    <row r="666" spans="9:10">
      <c r="I666"/>
      <c r="J666"/>
    </row>
    <row r="667" spans="9:10">
      <c r="I667"/>
      <c r="J667"/>
    </row>
    <row r="668" spans="9:10">
      <c r="I668"/>
      <c r="J668"/>
    </row>
    <row r="669" spans="9:10">
      <c r="I669"/>
      <c r="J669"/>
    </row>
    <row r="670" spans="9:10">
      <c r="I670"/>
      <c r="J670"/>
    </row>
    <row r="671" spans="9:10">
      <c r="I671"/>
      <c r="J671"/>
    </row>
    <row r="672" spans="9:10">
      <c r="I672"/>
      <c r="J672"/>
    </row>
    <row r="673" spans="9:10">
      <c r="I673"/>
      <c r="J673"/>
    </row>
    <row r="674" spans="9:10">
      <c r="I674"/>
      <c r="J674"/>
    </row>
    <row r="675" spans="9:10">
      <c r="I675"/>
      <c r="J675"/>
    </row>
    <row r="676" spans="9:10">
      <c r="I676"/>
      <c r="J676"/>
    </row>
    <row r="677" spans="9:10">
      <c r="I677"/>
      <c r="J677"/>
    </row>
    <row r="678" spans="9:10">
      <c r="I678"/>
      <c r="J678"/>
    </row>
    <row r="679" spans="9:10">
      <c r="I679"/>
      <c r="J679"/>
    </row>
    <row r="680" spans="9:10">
      <c r="I680"/>
      <c r="J680"/>
    </row>
    <row r="681" spans="9:10">
      <c r="I681"/>
      <c r="J681"/>
    </row>
    <row r="682" spans="9:10">
      <c r="I682"/>
      <c r="J682"/>
    </row>
    <row r="683" spans="9:10">
      <c r="I683"/>
      <c r="J683"/>
    </row>
    <row r="684" spans="9:10">
      <c r="I684"/>
      <c r="J684"/>
    </row>
    <row r="685" spans="9:10">
      <c r="I685"/>
      <c r="J685"/>
    </row>
    <row r="686" spans="9:10">
      <c r="I686"/>
      <c r="J686"/>
    </row>
    <row r="687" spans="9:10">
      <c r="I687"/>
      <c r="J687"/>
    </row>
    <row r="688" spans="9:10">
      <c r="I688"/>
      <c r="J688"/>
    </row>
    <row r="689" spans="9:10">
      <c r="I689"/>
      <c r="J689"/>
    </row>
    <row r="690" spans="9:10">
      <c r="I690"/>
      <c r="J690"/>
    </row>
    <row r="691" spans="9:10">
      <c r="I691"/>
      <c r="J691"/>
    </row>
    <row r="692" spans="9:10">
      <c r="I692"/>
      <c r="J692"/>
    </row>
    <row r="693" spans="9:10">
      <c r="I693"/>
      <c r="J693"/>
    </row>
    <row r="694" spans="9:10">
      <c r="I694"/>
      <c r="J694"/>
    </row>
    <row r="695" spans="9:10">
      <c r="I695"/>
      <c r="J695"/>
    </row>
    <row r="696" spans="9:10">
      <c r="I696"/>
      <c r="J696"/>
    </row>
    <row r="697" spans="9:10">
      <c r="I697"/>
      <c r="J697"/>
    </row>
    <row r="698" spans="9:10">
      <c r="I698"/>
      <c r="J698"/>
    </row>
    <row r="699" spans="9:10">
      <c r="I699"/>
      <c r="J699"/>
    </row>
    <row r="700" spans="9:10">
      <c r="I700"/>
      <c r="J700"/>
    </row>
    <row r="701" spans="9:10">
      <c r="I701"/>
      <c r="J701"/>
    </row>
    <row r="702" spans="9:10">
      <c r="I702"/>
      <c r="J702"/>
    </row>
    <row r="703" spans="9:10">
      <c r="I703"/>
      <c r="J703"/>
    </row>
    <row r="704" spans="9:10">
      <c r="I704"/>
      <c r="J704"/>
    </row>
    <row r="705" spans="9:10">
      <c r="I705"/>
      <c r="J705"/>
    </row>
    <row r="706" spans="9:10">
      <c r="I706"/>
      <c r="J706"/>
    </row>
    <row r="707" spans="9:10">
      <c r="I707"/>
      <c r="J707"/>
    </row>
    <row r="708" spans="9:10">
      <c r="I708"/>
      <c r="J708"/>
    </row>
    <row r="709" spans="9:10">
      <c r="I709"/>
      <c r="J709"/>
    </row>
    <row r="710" spans="9:10">
      <c r="I710"/>
      <c r="J710"/>
    </row>
    <row r="711" spans="9:10">
      <c r="I711"/>
      <c r="J711"/>
    </row>
    <row r="712" spans="9:10">
      <c r="I712"/>
      <c r="J712"/>
    </row>
    <row r="713" spans="9:10">
      <c r="I713"/>
      <c r="J713"/>
    </row>
    <row r="714" spans="9:10">
      <c r="I714"/>
      <c r="J714"/>
    </row>
    <row r="715" spans="9:10">
      <c r="I715"/>
      <c r="J715"/>
    </row>
    <row r="716" spans="9:10">
      <c r="I716"/>
      <c r="J716"/>
    </row>
    <row r="717" spans="9:10">
      <c r="I717"/>
      <c r="J717"/>
    </row>
    <row r="718" spans="9:10">
      <c r="I718"/>
      <c r="J718"/>
    </row>
    <row r="719" spans="9:10">
      <c r="I719"/>
      <c r="J719"/>
    </row>
    <row r="720" spans="9:10">
      <c r="I720"/>
      <c r="J720"/>
    </row>
    <row r="721" spans="9:10">
      <c r="I721"/>
      <c r="J721"/>
    </row>
    <row r="722" spans="9:10">
      <c r="I722"/>
      <c r="J722"/>
    </row>
    <row r="723" spans="9:10">
      <c r="I723"/>
      <c r="J723"/>
    </row>
    <row r="724" spans="9:10">
      <c r="I724"/>
      <c r="J724"/>
    </row>
    <row r="725" spans="9:10">
      <c r="I725"/>
      <c r="J725"/>
    </row>
    <row r="726" spans="9:10">
      <c r="I726"/>
      <c r="J726"/>
    </row>
    <row r="727" spans="9:10">
      <c r="I727"/>
      <c r="J727"/>
    </row>
    <row r="728" spans="9:10">
      <c r="I728"/>
      <c r="J728"/>
    </row>
    <row r="729" spans="9:10">
      <c r="I729"/>
      <c r="J729"/>
    </row>
    <row r="730" spans="9:10">
      <c r="I730"/>
      <c r="J730"/>
    </row>
    <row r="731" spans="9:10">
      <c r="I731"/>
      <c r="J731"/>
    </row>
    <row r="732" spans="9:10">
      <c r="I732"/>
      <c r="J732"/>
    </row>
    <row r="733" spans="9:10">
      <c r="I733"/>
      <c r="J733"/>
    </row>
    <row r="734" spans="9:10">
      <c r="I734"/>
      <c r="J734"/>
    </row>
    <row r="735" spans="9:10">
      <c r="I735"/>
      <c r="J735"/>
    </row>
    <row r="736" spans="9:10">
      <c r="I736"/>
      <c r="J736"/>
    </row>
    <row r="737" spans="9:10">
      <c r="I737"/>
      <c r="J737"/>
    </row>
    <row r="738" spans="9:10">
      <c r="I738"/>
      <c r="J738"/>
    </row>
    <row r="739" spans="9:10">
      <c r="I739"/>
      <c r="J739"/>
    </row>
    <row r="740" spans="9:10">
      <c r="I740"/>
      <c r="J740"/>
    </row>
    <row r="741" spans="9:10">
      <c r="I741"/>
      <c r="J741"/>
    </row>
    <row r="742" spans="9:10">
      <c r="I742"/>
      <c r="J742"/>
    </row>
    <row r="743" spans="9:10">
      <c r="I743"/>
      <c r="J743"/>
    </row>
    <row r="744" spans="9:10">
      <c r="I744"/>
      <c r="J744"/>
    </row>
    <row r="745" spans="9:10">
      <c r="I745"/>
      <c r="J745"/>
    </row>
    <row r="746" spans="9:10">
      <c r="I746"/>
      <c r="J746"/>
    </row>
    <row r="747" spans="9:10">
      <c r="I747"/>
      <c r="J747"/>
    </row>
    <row r="748" spans="9:10">
      <c r="I748"/>
      <c r="J748"/>
    </row>
    <row r="749" spans="9:10">
      <c r="I749"/>
      <c r="J749"/>
    </row>
    <row r="750" spans="9:10">
      <c r="I750"/>
      <c r="J750"/>
    </row>
    <row r="751" spans="9:10">
      <c r="I751"/>
      <c r="J751"/>
    </row>
    <row r="752" spans="9:10">
      <c r="I752"/>
      <c r="J752"/>
    </row>
    <row r="753" spans="9:10">
      <c r="I753"/>
      <c r="J753"/>
    </row>
    <row r="754" spans="9:10">
      <c r="I754"/>
      <c r="J754"/>
    </row>
    <row r="755" spans="9:10">
      <c r="I755"/>
      <c r="J755"/>
    </row>
    <row r="756" spans="9:10">
      <c r="I756"/>
      <c r="J756"/>
    </row>
    <row r="757" spans="9:10">
      <c r="I757"/>
      <c r="J757"/>
    </row>
    <row r="758" spans="9:10">
      <c r="I758"/>
      <c r="J758"/>
    </row>
    <row r="759" spans="9:10">
      <c r="I759"/>
      <c r="J759"/>
    </row>
    <row r="760" spans="9:10">
      <c r="I760"/>
      <c r="J760"/>
    </row>
    <row r="761" spans="9:10">
      <c r="I761"/>
      <c r="J761"/>
    </row>
    <row r="762" spans="9:10">
      <c r="I762"/>
      <c r="J762"/>
    </row>
    <row r="763" spans="9:10">
      <c r="I763"/>
      <c r="J763"/>
    </row>
    <row r="764" spans="9:10">
      <c r="I764"/>
      <c r="J764"/>
    </row>
    <row r="765" spans="9:10">
      <c r="I765"/>
      <c r="J765"/>
    </row>
    <row r="766" spans="9:10">
      <c r="I766"/>
      <c r="J766"/>
    </row>
    <row r="767" spans="9:10">
      <c r="I767"/>
      <c r="J767"/>
    </row>
    <row r="768" spans="9:10">
      <c r="I768"/>
      <c r="J768"/>
    </row>
    <row r="769" spans="9:10">
      <c r="I769"/>
      <c r="J769"/>
    </row>
    <row r="770" spans="9:10">
      <c r="I770"/>
      <c r="J770"/>
    </row>
    <row r="771" spans="9:10">
      <c r="I771"/>
      <c r="J771"/>
    </row>
    <row r="772" spans="9:10">
      <c r="I772"/>
      <c r="J772"/>
    </row>
    <row r="773" spans="9:10">
      <c r="I773"/>
      <c r="J773"/>
    </row>
    <row r="774" spans="9:10">
      <c r="I774"/>
      <c r="J774"/>
    </row>
    <row r="775" spans="9:10">
      <c r="I775"/>
      <c r="J775"/>
    </row>
    <row r="776" spans="9:10">
      <c r="I776"/>
      <c r="J776"/>
    </row>
    <row r="777" spans="9:10">
      <c r="I777"/>
      <c r="J777"/>
    </row>
    <row r="778" spans="9:10">
      <c r="I778"/>
      <c r="J778"/>
    </row>
    <row r="779" spans="9:10">
      <c r="I779"/>
      <c r="J779"/>
    </row>
    <row r="780" spans="9:10">
      <c r="I780"/>
      <c r="J780"/>
    </row>
    <row r="781" spans="9:10">
      <c r="I781"/>
      <c r="J781"/>
    </row>
    <row r="782" spans="9:10">
      <c r="I782"/>
      <c r="J782"/>
    </row>
    <row r="783" spans="9:10">
      <c r="I783"/>
      <c r="J783"/>
    </row>
    <row r="784" spans="9:10">
      <c r="I784"/>
      <c r="J784"/>
    </row>
    <row r="785" spans="9:10">
      <c r="I785"/>
      <c r="J785"/>
    </row>
    <row r="786" spans="9:10">
      <c r="I786"/>
      <c r="J786"/>
    </row>
    <row r="787" spans="9:10">
      <c r="I787"/>
      <c r="J787"/>
    </row>
    <row r="788" spans="9:10">
      <c r="I788"/>
      <c r="J788"/>
    </row>
    <row r="789" spans="9:10">
      <c r="I789"/>
      <c r="J789"/>
    </row>
    <row r="790" spans="9:10">
      <c r="I790"/>
      <c r="J790"/>
    </row>
    <row r="791" spans="9:10">
      <c r="I791"/>
      <c r="J791"/>
    </row>
    <row r="792" spans="9:10">
      <c r="I792"/>
      <c r="J792"/>
    </row>
    <row r="793" spans="9:10">
      <c r="I793"/>
      <c r="J793"/>
    </row>
    <row r="794" spans="9:10">
      <c r="I794"/>
      <c r="J794"/>
    </row>
    <row r="795" spans="9:10">
      <c r="I795"/>
      <c r="J795"/>
    </row>
    <row r="796" spans="9:10">
      <c r="I796"/>
      <c r="J796"/>
    </row>
    <row r="797" spans="9:10">
      <c r="I797"/>
      <c r="J797"/>
    </row>
    <row r="798" spans="9:10">
      <c r="I798"/>
      <c r="J798"/>
    </row>
    <row r="799" spans="9:10">
      <c r="I799"/>
      <c r="J799"/>
    </row>
    <row r="800" spans="9:10">
      <c r="I800"/>
      <c r="J800"/>
    </row>
    <row r="801" spans="9:10">
      <c r="I801"/>
      <c r="J801"/>
    </row>
    <row r="802" spans="9:10">
      <c r="I802"/>
      <c r="J802"/>
    </row>
    <row r="803" spans="9:10">
      <c r="I803"/>
      <c r="J803"/>
    </row>
    <row r="804" spans="9:10">
      <c r="I804"/>
      <c r="J804"/>
    </row>
    <row r="805" spans="9:10">
      <c r="I805"/>
      <c r="J805"/>
    </row>
    <row r="806" spans="9:10">
      <c r="I806"/>
      <c r="J806"/>
    </row>
    <row r="807" spans="9:10">
      <c r="I807"/>
      <c r="J807"/>
    </row>
    <row r="808" spans="9:10">
      <c r="I808"/>
      <c r="J808"/>
    </row>
    <row r="809" spans="9:10">
      <c r="I809"/>
      <c r="J809"/>
    </row>
    <row r="810" spans="9:10">
      <c r="I810"/>
      <c r="J810"/>
    </row>
    <row r="811" spans="9:10">
      <c r="I811"/>
      <c r="J811"/>
    </row>
    <row r="812" spans="9:10">
      <c r="I812"/>
      <c r="J812"/>
    </row>
    <row r="813" spans="9:10">
      <c r="I813"/>
      <c r="J813"/>
    </row>
    <row r="814" spans="9:10">
      <c r="I814"/>
      <c r="J814"/>
    </row>
    <row r="815" spans="9:10">
      <c r="I815"/>
      <c r="J815"/>
    </row>
    <row r="816" spans="9:10">
      <c r="I816"/>
      <c r="J816"/>
    </row>
    <row r="817" spans="9:10">
      <c r="I817"/>
      <c r="J817"/>
    </row>
    <row r="818" spans="9:10">
      <c r="I818"/>
      <c r="J818"/>
    </row>
    <row r="819" spans="9:10">
      <c r="I819"/>
      <c r="J819"/>
    </row>
    <row r="820" spans="9:10">
      <c r="I820"/>
      <c r="J820"/>
    </row>
    <row r="821" spans="9:10">
      <c r="I821"/>
      <c r="J821"/>
    </row>
    <row r="822" spans="9:10">
      <c r="I822"/>
      <c r="J822"/>
    </row>
    <row r="823" spans="9:10">
      <c r="I823"/>
      <c r="J823"/>
    </row>
    <row r="824" spans="9:10">
      <c r="I824"/>
      <c r="J824"/>
    </row>
    <row r="825" spans="9:10">
      <c r="I825"/>
      <c r="J825"/>
    </row>
    <row r="826" spans="9:10">
      <c r="I826"/>
      <c r="J826"/>
    </row>
    <row r="827" spans="9:10">
      <c r="I827"/>
      <c r="J827"/>
    </row>
    <row r="828" spans="9:10">
      <c r="I828"/>
      <c r="J828"/>
    </row>
    <row r="829" spans="9:10">
      <c r="I829"/>
      <c r="J829"/>
    </row>
    <row r="830" spans="9:10">
      <c r="I830"/>
      <c r="J830"/>
    </row>
    <row r="831" spans="9:10">
      <c r="I831"/>
      <c r="J831"/>
    </row>
    <row r="832" spans="9:10">
      <c r="I832"/>
      <c r="J832"/>
    </row>
    <row r="833" spans="9:10">
      <c r="I833"/>
      <c r="J833"/>
    </row>
    <row r="834" spans="9:10">
      <c r="I834"/>
      <c r="J834"/>
    </row>
    <row r="835" spans="9:10">
      <c r="I835"/>
      <c r="J835"/>
    </row>
    <row r="836" spans="9:10">
      <c r="I836"/>
      <c r="J836"/>
    </row>
    <row r="837" spans="9:10">
      <c r="I837"/>
      <c r="J837"/>
    </row>
    <row r="838" spans="9:10">
      <c r="I838"/>
      <c r="J838"/>
    </row>
    <row r="839" spans="9:10">
      <c r="I839"/>
      <c r="J839"/>
    </row>
    <row r="840" spans="9:10">
      <c r="I840"/>
      <c r="J840"/>
    </row>
    <row r="841" spans="9:10">
      <c r="I841"/>
      <c r="J841"/>
    </row>
    <row r="842" spans="9:10">
      <c r="I842"/>
      <c r="J842"/>
    </row>
    <row r="843" spans="9:10">
      <c r="I843"/>
      <c r="J843"/>
    </row>
    <row r="844" spans="9:10">
      <c r="I844"/>
      <c r="J844"/>
    </row>
    <row r="845" spans="9:10">
      <c r="I845"/>
      <c r="J845"/>
    </row>
    <row r="846" spans="9:10">
      <c r="I846"/>
      <c r="J846"/>
    </row>
    <row r="847" spans="9:10">
      <c r="I847"/>
      <c r="J847"/>
    </row>
    <row r="848" spans="9:10">
      <c r="I848"/>
      <c r="J848"/>
    </row>
    <row r="849" spans="9:10">
      <c r="I849"/>
      <c r="J849"/>
    </row>
    <row r="850" spans="9:10">
      <c r="I850"/>
      <c r="J850"/>
    </row>
    <row r="851" spans="9:10">
      <c r="I851"/>
      <c r="J851"/>
    </row>
    <row r="852" spans="9:10">
      <c r="I852"/>
      <c r="J852"/>
    </row>
    <row r="853" spans="9:10">
      <c r="I853"/>
      <c r="J853"/>
    </row>
    <row r="854" spans="9:10">
      <c r="I854"/>
      <c r="J854"/>
    </row>
    <row r="855" spans="9:10">
      <c r="I855"/>
      <c r="J855"/>
    </row>
    <row r="856" spans="9:10">
      <c r="I856"/>
      <c r="J856"/>
    </row>
    <row r="857" spans="9:10">
      <c r="I857"/>
      <c r="J857"/>
    </row>
    <row r="858" spans="9:10">
      <c r="I858"/>
      <c r="J858"/>
    </row>
    <row r="859" spans="9:10">
      <c r="I859"/>
      <c r="J859"/>
    </row>
    <row r="860" spans="9:10">
      <c r="I860"/>
      <c r="J860"/>
    </row>
    <row r="861" spans="9:10">
      <c r="I861"/>
      <c r="J861"/>
    </row>
    <row r="862" spans="9:10">
      <c r="I862"/>
      <c r="J862"/>
    </row>
    <row r="863" spans="9:10">
      <c r="I863"/>
      <c r="J863"/>
    </row>
    <row r="864" spans="9:10">
      <c r="I864"/>
      <c r="J864"/>
    </row>
    <row r="865" spans="9:10">
      <c r="I865"/>
      <c r="J865"/>
    </row>
    <row r="866" spans="9:10">
      <c r="I866"/>
      <c r="J866"/>
    </row>
    <row r="867" spans="9:10">
      <c r="I867"/>
      <c r="J867"/>
    </row>
    <row r="868" spans="9:10">
      <c r="I868"/>
      <c r="J868"/>
    </row>
    <row r="869" spans="9:10">
      <c r="I869"/>
      <c r="J869"/>
    </row>
    <row r="870" spans="9:10">
      <c r="I870"/>
      <c r="J870"/>
    </row>
    <row r="871" spans="9:10">
      <c r="I871"/>
      <c r="J871"/>
    </row>
    <row r="872" spans="9:10">
      <c r="I872"/>
      <c r="J872"/>
    </row>
    <row r="873" spans="9:10">
      <c r="I873"/>
      <c r="J873"/>
    </row>
    <row r="874" spans="9:10">
      <c r="I874"/>
      <c r="J874"/>
    </row>
    <row r="875" spans="9:10">
      <c r="I875"/>
      <c r="J875"/>
    </row>
    <row r="876" spans="9:10">
      <c r="I876"/>
      <c r="J876"/>
    </row>
    <row r="877" spans="9:10">
      <c r="I877"/>
      <c r="J877"/>
    </row>
    <row r="878" spans="9:10">
      <c r="I878"/>
      <c r="J878"/>
    </row>
    <row r="879" spans="9:10">
      <c r="I879"/>
      <c r="J879"/>
    </row>
    <row r="880" spans="9:10">
      <c r="I880"/>
      <c r="J880"/>
    </row>
    <row r="881" spans="9:10">
      <c r="I881"/>
      <c r="J881"/>
    </row>
    <row r="882" spans="9:10">
      <c r="I882"/>
      <c r="J882"/>
    </row>
    <row r="883" spans="9:10">
      <c r="I883"/>
      <c r="J883"/>
    </row>
    <row r="884" spans="9:10">
      <c r="I884"/>
      <c r="J884"/>
    </row>
    <row r="885" spans="9:10">
      <c r="I885"/>
      <c r="J885"/>
    </row>
    <row r="886" spans="9:10">
      <c r="I886"/>
      <c r="J886"/>
    </row>
    <row r="887" spans="9:10">
      <c r="I887"/>
      <c r="J887"/>
    </row>
    <row r="888" spans="9:10">
      <c r="I888"/>
      <c r="J888"/>
    </row>
    <row r="889" spans="9:10">
      <c r="I889"/>
      <c r="J889"/>
    </row>
    <row r="890" spans="9:10">
      <c r="I890"/>
      <c r="J890"/>
    </row>
    <row r="891" spans="9:10">
      <c r="I891"/>
      <c r="J891"/>
    </row>
    <row r="892" spans="9:10">
      <c r="I892"/>
      <c r="J892"/>
    </row>
    <row r="893" spans="9:10">
      <c r="I893"/>
      <c r="J893"/>
    </row>
    <row r="894" spans="9:10">
      <c r="I894"/>
      <c r="J894"/>
    </row>
    <row r="895" spans="9:10">
      <c r="I895"/>
      <c r="J895"/>
    </row>
    <row r="896" spans="9:10">
      <c r="I896"/>
      <c r="J896"/>
    </row>
    <row r="897" spans="9:10">
      <c r="I897"/>
      <c r="J897"/>
    </row>
    <row r="898" spans="9:10">
      <c r="I898"/>
      <c r="J898"/>
    </row>
    <row r="899" spans="9:10">
      <c r="I899"/>
      <c r="J899"/>
    </row>
    <row r="900" spans="9:10">
      <c r="I900"/>
      <c r="J900"/>
    </row>
    <row r="901" spans="9:10">
      <c r="I901"/>
      <c r="J901"/>
    </row>
    <row r="902" spans="9:10">
      <c r="I902"/>
      <c r="J902"/>
    </row>
    <row r="903" spans="9:10">
      <c r="I903"/>
      <c r="J903"/>
    </row>
    <row r="904" spans="9:10">
      <c r="I904"/>
      <c r="J904"/>
    </row>
    <row r="905" spans="9:10">
      <c r="I905"/>
      <c r="J905"/>
    </row>
    <row r="906" spans="9:10">
      <c r="I906"/>
      <c r="J906"/>
    </row>
    <row r="907" spans="9:10">
      <c r="I907"/>
      <c r="J907"/>
    </row>
    <row r="908" spans="9:10">
      <c r="I908"/>
      <c r="J908"/>
    </row>
    <row r="909" spans="9:10">
      <c r="I909"/>
      <c r="J909"/>
    </row>
    <row r="910" spans="9:10">
      <c r="I910"/>
      <c r="J910"/>
    </row>
    <row r="911" spans="9:10">
      <c r="I911"/>
      <c r="J911"/>
    </row>
    <row r="912" spans="9:10">
      <c r="I912"/>
      <c r="J912"/>
    </row>
    <row r="913" spans="9:10">
      <c r="I913"/>
      <c r="J913"/>
    </row>
    <row r="914" spans="9:10">
      <c r="I914"/>
      <c r="J914"/>
    </row>
    <row r="915" spans="9:10">
      <c r="I915"/>
      <c r="J915"/>
    </row>
    <row r="916" spans="9:10">
      <c r="I916"/>
      <c r="J916"/>
    </row>
    <row r="917" spans="9:10">
      <c r="I917"/>
      <c r="J917"/>
    </row>
    <row r="918" spans="9:10">
      <c r="I918"/>
      <c r="J918"/>
    </row>
    <row r="919" spans="9:10">
      <c r="I919"/>
      <c r="J919"/>
    </row>
    <row r="920" spans="9:10">
      <c r="I920"/>
      <c r="J920"/>
    </row>
    <row r="921" spans="9:10">
      <c r="I921"/>
      <c r="J921"/>
    </row>
    <row r="922" spans="9:10">
      <c r="I922"/>
      <c r="J922"/>
    </row>
    <row r="923" spans="9:10">
      <c r="I923"/>
      <c r="J923"/>
    </row>
    <row r="924" spans="9:10">
      <c r="I924"/>
      <c r="J924"/>
    </row>
    <row r="925" spans="9:10">
      <c r="I925"/>
      <c r="J925"/>
    </row>
    <row r="926" spans="9:10">
      <c r="I926"/>
      <c r="J926"/>
    </row>
    <row r="927" spans="9:10">
      <c r="I927"/>
      <c r="J927"/>
    </row>
    <row r="928" spans="9:10">
      <c r="I928"/>
      <c r="J928"/>
    </row>
    <row r="929" spans="9:10">
      <c r="I929"/>
      <c r="J929"/>
    </row>
    <row r="930" spans="9:10">
      <c r="I930"/>
      <c r="J930"/>
    </row>
    <row r="931" spans="9:10">
      <c r="I931"/>
      <c r="J931"/>
    </row>
    <row r="932" spans="9:10">
      <c r="I932"/>
      <c r="J932"/>
    </row>
    <row r="933" spans="9:10">
      <c r="I933"/>
      <c r="J933"/>
    </row>
    <row r="934" spans="9:10">
      <c r="I934"/>
      <c r="J934"/>
    </row>
    <row r="935" spans="9:10">
      <c r="I935"/>
      <c r="J935"/>
    </row>
    <row r="936" spans="9:10">
      <c r="I936"/>
      <c r="J936"/>
    </row>
    <row r="937" spans="9:10">
      <c r="I937"/>
      <c r="J937"/>
    </row>
    <row r="938" spans="9:10">
      <c r="I938"/>
      <c r="J938"/>
    </row>
    <row r="939" spans="9:10">
      <c r="I939"/>
      <c r="J939"/>
    </row>
    <row r="940" spans="9:10">
      <c r="I940"/>
      <c r="J940"/>
    </row>
    <row r="941" spans="9:10">
      <c r="I941"/>
      <c r="J941"/>
    </row>
    <row r="942" spans="9:10">
      <c r="I942"/>
      <c r="J942"/>
    </row>
    <row r="943" spans="9:10">
      <c r="I943"/>
      <c r="J943"/>
    </row>
    <row r="944" spans="9:10">
      <c r="I944"/>
      <c r="J944"/>
    </row>
    <row r="945" spans="9:10">
      <c r="I945"/>
      <c r="J945"/>
    </row>
    <row r="946" spans="9:10">
      <c r="I946"/>
      <c r="J946"/>
    </row>
    <row r="947" spans="9:10">
      <c r="I947"/>
      <c r="J947"/>
    </row>
    <row r="948" spans="9:10">
      <c r="I948"/>
      <c r="J948"/>
    </row>
    <row r="949" spans="9:10">
      <c r="I949"/>
      <c r="J949"/>
    </row>
    <row r="950" spans="9:10">
      <c r="I950"/>
      <c r="J950"/>
    </row>
    <row r="951" spans="9:10">
      <c r="I951"/>
      <c r="J951"/>
    </row>
    <row r="952" spans="9:10">
      <c r="I952"/>
      <c r="J952"/>
    </row>
    <row r="953" spans="9:10">
      <c r="I953"/>
      <c r="J953"/>
    </row>
    <row r="954" spans="9:10">
      <c r="I954"/>
      <c r="J954"/>
    </row>
    <row r="955" spans="9:10">
      <c r="I955"/>
      <c r="J955"/>
    </row>
    <row r="956" spans="9:10">
      <c r="I956"/>
      <c r="J956"/>
    </row>
    <row r="957" spans="9:10">
      <c r="I957"/>
      <c r="J957"/>
    </row>
    <row r="958" spans="9:10">
      <c r="I958"/>
      <c r="J958"/>
    </row>
    <row r="959" spans="9:10">
      <c r="I959"/>
      <c r="J959"/>
    </row>
    <row r="960" spans="9:10">
      <c r="I960"/>
      <c r="J960"/>
    </row>
    <row r="961" spans="9:10">
      <c r="I961"/>
      <c r="J961"/>
    </row>
    <row r="962" spans="9:10">
      <c r="I962"/>
      <c r="J962"/>
    </row>
    <row r="963" spans="9:10">
      <c r="I963"/>
      <c r="J963"/>
    </row>
    <row r="964" spans="9:10">
      <c r="I964"/>
      <c r="J964"/>
    </row>
    <row r="965" spans="9:10">
      <c r="I965"/>
      <c r="J965"/>
    </row>
    <row r="966" spans="9:10">
      <c r="I966"/>
      <c r="J966"/>
    </row>
    <row r="967" spans="9:10">
      <c r="I967"/>
      <c r="J967"/>
    </row>
    <row r="968" spans="9:10">
      <c r="I968"/>
      <c r="J968"/>
    </row>
    <row r="969" spans="9:10">
      <c r="I969"/>
      <c r="J969"/>
    </row>
    <row r="970" spans="9:10">
      <c r="I970"/>
      <c r="J970"/>
    </row>
    <row r="971" spans="9:10">
      <c r="I971"/>
      <c r="J971"/>
    </row>
    <row r="972" spans="9:10">
      <c r="I972"/>
      <c r="J972"/>
    </row>
    <row r="973" spans="9:10">
      <c r="I973"/>
      <c r="J973"/>
    </row>
    <row r="974" spans="9:10">
      <c r="I974"/>
      <c r="J974"/>
    </row>
    <row r="975" spans="9:10">
      <c r="I975"/>
      <c r="J975"/>
    </row>
    <row r="976" spans="9:10">
      <c r="I976"/>
      <c r="J976"/>
    </row>
    <row r="977" spans="9:10">
      <c r="I977"/>
      <c r="J977"/>
    </row>
    <row r="978" spans="9:10">
      <c r="I978"/>
      <c r="J978"/>
    </row>
    <row r="979" spans="9:10">
      <c r="I979"/>
      <c r="J979"/>
    </row>
    <row r="980" spans="9:10">
      <c r="I980"/>
      <c r="J980"/>
    </row>
    <row r="981" spans="9:10">
      <c r="I981"/>
      <c r="J981"/>
    </row>
    <row r="982" spans="9:10">
      <c r="I982"/>
      <c r="J982"/>
    </row>
    <row r="983" spans="9:10">
      <c r="I983"/>
      <c r="J983"/>
    </row>
    <row r="984" spans="9:10">
      <c r="I984"/>
      <c r="J984"/>
    </row>
    <row r="985" spans="9:10">
      <c r="I985"/>
      <c r="J985"/>
    </row>
    <row r="986" spans="9:10">
      <c r="I986"/>
      <c r="J986"/>
    </row>
    <row r="987" spans="9:10">
      <c r="I987"/>
      <c r="J987"/>
    </row>
    <row r="988" spans="9:10">
      <c r="I988"/>
      <c r="J988"/>
    </row>
    <row r="989" spans="9:10">
      <c r="I989"/>
      <c r="J989"/>
    </row>
    <row r="990" spans="9:10">
      <c r="I990"/>
      <c r="J990"/>
    </row>
    <row r="991" spans="9:10">
      <c r="I991"/>
      <c r="J991"/>
    </row>
    <row r="992" spans="9:10">
      <c r="I992"/>
      <c r="J992"/>
    </row>
    <row r="993" spans="9:10">
      <c r="I993"/>
      <c r="J993"/>
    </row>
    <row r="994" spans="9:10">
      <c r="I994"/>
      <c r="J994"/>
    </row>
    <row r="995" spans="9:10">
      <c r="I995"/>
      <c r="J995"/>
    </row>
    <row r="996" spans="9:10">
      <c r="I996"/>
      <c r="J996"/>
    </row>
    <row r="997" spans="9:10">
      <c r="I997"/>
      <c r="J997"/>
    </row>
    <row r="998" spans="9:10">
      <c r="I998"/>
      <c r="J998"/>
    </row>
    <row r="999" spans="9:10">
      <c r="I999"/>
      <c r="J999"/>
    </row>
    <row r="1000" spans="9:10">
      <c r="I1000"/>
      <c r="J1000"/>
    </row>
    <row r="1001" spans="9:10">
      <c r="I1001"/>
      <c r="J1001"/>
    </row>
    <row r="1002" spans="9:10">
      <c r="I1002"/>
      <c r="J1002"/>
    </row>
    <row r="1003" spans="9:10">
      <c r="I1003"/>
      <c r="J1003"/>
    </row>
    <row r="1004" spans="9:10">
      <c r="I1004"/>
      <c r="J1004"/>
    </row>
    <row r="1005" spans="9:10">
      <c r="I1005"/>
      <c r="J1005"/>
    </row>
    <row r="1006" spans="9:10">
      <c r="I1006"/>
      <c r="J1006"/>
    </row>
    <row r="1007" spans="9:10">
      <c r="I1007"/>
      <c r="J1007"/>
    </row>
    <row r="1008" spans="9:10">
      <c r="I1008"/>
      <c r="J1008"/>
    </row>
    <row r="1009" spans="9:10">
      <c r="I1009"/>
      <c r="J1009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J617"/>
  <sheetViews>
    <sheetView tabSelected="1" topLeftCell="A66" workbookViewId="0">
      <selection activeCell="G79" activeCellId="1" sqref="G81 G79"/>
    </sheetView>
  </sheetViews>
  <sheetFormatPr defaultRowHeight="16.5"/>
  <cols>
    <col min="1" max="1" width="67.625" style="9" customWidth="1"/>
    <col min="2" max="2" width="38.875" style="9" customWidth="1"/>
    <col min="3" max="3" width="21.625" style="9" customWidth="1"/>
    <col min="4" max="4" width="26.375" style="9" customWidth="1"/>
    <col min="5" max="16384" width="9" style="9"/>
  </cols>
  <sheetData>
    <row r="1" spans="1:5" ht="17.25" thickBot="1">
      <c r="A1" s="8" t="s">
        <v>35</v>
      </c>
      <c r="B1" s="8" t="s">
        <v>9</v>
      </c>
      <c r="C1" s="8" t="s">
        <v>36</v>
      </c>
      <c r="D1" s="8" t="s">
        <v>37</v>
      </c>
    </row>
    <row r="2" spans="1:5">
      <c r="A2" s="2" t="s">
        <v>29</v>
      </c>
      <c r="B2" s="2" t="s">
        <v>53</v>
      </c>
      <c r="C2" s="10" t="s">
        <v>67</v>
      </c>
      <c r="D2" s="10" t="s">
        <v>57</v>
      </c>
      <c r="E2" s="11"/>
    </row>
    <row r="3" spans="1:5">
      <c r="A3" s="2" t="s">
        <v>29</v>
      </c>
      <c r="B3" s="2" t="s">
        <v>58</v>
      </c>
      <c r="C3" s="10" t="s">
        <v>67</v>
      </c>
      <c r="D3" s="10" t="s">
        <v>59</v>
      </c>
    </row>
    <row r="4" spans="1:5">
      <c r="A4" s="2" t="s">
        <v>29</v>
      </c>
      <c r="B4" s="2" t="s">
        <v>61</v>
      </c>
      <c r="C4" s="10" t="s">
        <v>67</v>
      </c>
      <c r="D4" s="10" t="s">
        <v>64</v>
      </c>
    </row>
    <row r="5" spans="1:5">
      <c r="A5" s="2" t="s">
        <v>29</v>
      </c>
      <c r="B5" s="2" t="s">
        <v>62</v>
      </c>
      <c r="C5" s="10" t="s">
        <v>67</v>
      </c>
      <c r="D5" s="10" t="s">
        <v>65</v>
      </c>
    </row>
    <row r="6" spans="1:5">
      <c r="A6" s="2" t="s">
        <v>29</v>
      </c>
      <c r="B6" s="2" t="s">
        <v>63</v>
      </c>
      <c r="C6" s="10" t="s">
        <v>67</v>
      </c>
      <c r="D6" s="10" t="s">
        <v>66</v>
      </c>
    </row>
    <row r="7" spans="1:5">
      <c r="A7" s="12"/>
      <c r="B7" s="12"/>
      <c r="C7" s="10"/>
      <c r="D7" s="10"/>
    </row>
    <row r="8" spans="1:5">
      <c r="A8" s="2" t="s">
        <v>29</v>
      </c>
      <c r="B8" s="2" t="s">
        <v>50</v>
      </c>
      <c r="C8" s="10" t="s">
        <v>67</v>
      </c>
      <c r="D8" s="10" t="s">
        <v>30</v>
      </c>
    </row>
    <row r="9" spans="1:5">
      <c r="A9" s="2" t="s">
        <v>29</v>
      </c>
      <c r="B9" s="2" t="s">
        <v>68</v>
      </c>
      <c r="C9" s="10" t="s">
        <v>67</v>
      </c>
      <c r="D9" s="10" t="s">
        <v>77</v>
      </c>
    </row>
    <row r="10" spans="1:5">
      <c r="A10" s="2" t="s">
        <v>29</v>
      </c>
      <c r="B10" s="2" t="s">
        <v>69</v>
      </c>
      <c r="C10" s="10" t="s">
        <v>67</v>
      </c>
      <c r="D10" s="10" t="s">
        <v>78</v>
      </c>
    </row>
    <row r="11" spans="1:5">
      <c r="A11" s="2" t="s">
        <v>29</v>
      </c>
      <c r="B11" s="2" t="s">
        <v>70</v>
      </c>
      <c r="C11" s="10" t="s">
        <v>67</v>
      </c>
      <c r="D11" s="10" t="s">
        <v>79</v>
      </c>
    </row>
    <row r="12" spans="1:5">
      <c r="A12" s="2" t="s">
        <v>29</v>
      </c>
      <c r="B12" s="2" t="s">
        <v>71</v>
      </c>
      <c r="C12" s="10" t="s">
        <v>67</v>
      </c>
      <c r="D12" s="10" t="s">
        <v>80</v>
      </c>
    </row>
    <row r="13" spans="1:5">
      <c r="A13" s="12"/>
      <c r="B13" s="2"/>
      <c r="C13" s="10"/>
      <c r="D13" s="10"/>
    </row>
    <row r="14" spans="1:5">
      <c r="A14" s="2" t="s">
        <v>29</v>
      </c>
      <c r="B14" s="2" t="s">
        <v>72</v>
      </c>
      <c r="C14" s="10" t="s">
        <v>67</v>
      </c>
      <c r="D14" s="10" t="s">
        <v>31</v>
      </c>
    </row>
    <row r="15" spans="1:5">
      <c r="A15" s="2" t="s">
        <v>29</v>
      </c>
      <c r="B15" s="2" t="s">
        <v>73</v>
      </c>
      <c r="C15" s="10" t="s">
        <v>67</v>
      </c>
      <c r="D15" s="10" t="s">
        <v>81</v>
      </c>
    </row>
    <row r="16" spans="1:5">
      <c r="A16" s="2" t="s">
        <v>29</v>
      </c>
      <c r="B16" s="2" t="s">
        <v>74</v>
      </c>
      <c r="C16" s="10" t="s">
        <v>67</v>
      </c>
      <c r="D16" s="10" t="s">
        <v>82</v>
      </c>
    </row>
    <row r="17" spans="1:4">
      <c r="A17" s="2" t="s">
        <v>29</v>
      </c>
      <c r="B17" s="2" t="s">
        <v>75</v>
      </c>
      <c r="C17" s="10" t="s">
        <v>67</v>
      </c>
      <c r="D17" s="10" t="s">
        <v>83</v>
      </c>
    </row>
    <row r="18" spans="1:4">
      <c r="A18" s="2" t="s">
        <v>29</v>
      </c>
      <c r="B18" s="2" t="s">
        <v>76</v>
      </c>
      <c r="C18" s="10" t="s">
        <v>67</v>
      </c>
      <c r="D18" s="10" t="s">
        <v>84</v>
      </c>
    </row>
    <row r="19" spans="1:4">
      <c r="A19" s="12"/>
      <c r="B19" s="12"/>
      <c r="C19" s="10"/>
      <c r="D19" s="10"/>
    </row>
    <row r="20" spans="1:4">
      <c r="A20" s="2" t="s">
        <v>32</v>
      </c>
      <c r="B20" s="12" t="s">
        <v>85</v>
      </c>
      <c r="C20" s="10" t="s">
        <v>91</v>
      </c>
      <c r="D20" s="10" t="s">
        <v>57</v>
      </c>
    </row>
    <row r="21" spans="1:4">
      <c r="A21" s="2" t="s">
        <v>32</v>
      </c>
      <c r="B21" s="12" t="s">
        <v>60</v>
      </c>
      <c r="C21" s="10" t="s">
        <v>91</v>
      </c>
      <c r="D21" s="10" t="s">
        <v>256</v>
      </c>
    </row>
    <row r="22" spans="1:4">
      <c r="A22" s="2" t="s">
        <v>32</v>
      </c>
      <c r="B22" s="12" t="s">
        <v>54</v>
      </c>
      <c r="C22" s="10" t="s">
        <v>91</v>
      </c>
      <c r="D22" s="10" t="s">
        <v>257</v>
      </c>
    </row>
    <row r="23" spans="1:4">
      <c r="A23" s="2" t="s">
        <v>32</v>
      </c>
      <c r="B23" s="12" t="s">
        <v>55</v>
      </c>
      <c r="C23" s="10" t="s">
        <v>91</v>
      </c>
      <c r="D23" s="10" t="s">
        <v>258</v>
      </c>
    </row>
    <row r="24" spans="1:4">
      <c r="A24" s="2" t="s">
        <v>339</v>
      </c>
      <c r="B24" s="2" t="s">
        <v>360</v>
      </c>
      <c r="C24" s="10" t="s">
        <v>91</v>
      </c>
      <c r="D24" s="10" t="s">
        <v>361</v>
      </c>
    </row>
    <row r="25" spans="1:4">
      <c r="A25" s="2" t="s">
        <v>32</v>
      </c>
      <c r="B25" s="2" t="s">
        <v>86</v>
      </c>
      <c r="C25" s="10" t="s">
        <v>91</v>
      </c>
      <c r="D25" s="10" t="s">
        <v>259</v>
      </c>
    </row>
    <row r="26" spans="1:4">
      <c r="A26" s="2" t="s">
        <v>32</v>
      </c>
      <c r="B26" s="2" t="s">
        <v>87</v>
      </c>
      <c r="C26" s="10" t="s">
        <v>91</v>
      </c>
      <c r="D26" s="10" t="s">
        <v>260</v>
      </c>
    </row>
    <row r="27" spans="1:4">
      <c r="A27" s="2" t="s">
        <v>32</v>
      </c>
      <c r="B27" s="2" t="s">
        <v>88</v>
      </c>
      <c r="C27" s="10" t="s">
        <v>91</v>
      </c>
      <c r="D27" s="10" t="s">
        <v>261</v>
      </c>
    </row>
    <row r="28" spans="1:4">
      <c r="A28" s="2" t="s">
        <v>32</v>
      </c>
      <c r="B28" s="2" t="s">
        <v>89</v>
      </c>
      <c r="C28" s="10" t="s">
        <v>91</v>
      </c>
      <c r="D28" s="10" t="s">
        <v>262</v>
      </c>
    </row>
    <row r="29" spans="1:4">
      <c r="A29" s="2" t="s">
        <v>32</v>
      </c>
      <c r="B29" s="2" t="s">
        <v>90</v>
      </c>
      <c r="C29" s="10" t="s">
        <v>91</v>
      </c>
      <c r="D29" s="10" t="s">
        <v>263</v>
      </c>
    </row>
    <row r="30" spans="1:4">
      <c r="A30" s="2" t="s">
        <v>32</v>
      </c>
      <c r="B30" s="2" t="s">
        <v>241</v>
      </c>
      <c r="C30" s="10" t="s">
        <v>91</v>
      </c>
      <c r="D30" s="10" t="s">
        <v>264</v>
      </c>
    </row>
    <row r="31" spans="1:4">
      <c r="A31" s="12"/>
      <c r="B31" s="2"/>
      <c r="C31" s="10"/>
      <c r="D31" s="10"/>
    </row>
    <row r="32" spans="1:4">
      <c r="A32" s="2" t="s">
        <v>32</v>
      </c>
      <c r="B32" s="12" t="s">
        <v>224</v>
      </c>
      <c r="C32" s="10" t="s">
        <v>91</v>
      </c>
      <c r="D32" s="10" t="s">
        <v>92</v>
      </c>
    </row>
    <row r="33" spans="1:5">
      <c r="A33" s="2" t="s">
        <v>32</v>
      </c>
      <c r="B33" s="12" t="s">
        <v>225</v>
      </c>
      <c r="C33" s="10" t="s">
        <v>91</v>
      </c>
      <c r="D33" s="10" t="s">
        <v>265</v>
      </c>
    </row>
    <row r="34" spans="1:5">
      <c r="A34" s="2" t="s">
        <v>32</v>
      </c>
      <c r="B34" s="12" t="s">
        <v>226</v>
      </c>
      <c r="C34" s="10" t="s">
        <v>91</v>
      </c>
      <c r="D34" s="10" t="s">
        <v>266</v>
      </c>
    </row>
    <row r="35" spans="1:5">
      <c r="A35" s="2" t="s">
        <v>32</v>
      </c>
      <c r="B35" s="12" t="s">
        <v>227</v>
      </c>
      <c r="C35" s="10" t="s">
        <v>91</v>
      </c>
      <c r="D35" s="10" t="s">
        <v>267</v>
      </c>
    </row>
    <row r="36" spans="1:5">
      <c r="A36" s="2" t="s">
        <v>32</v>
      </c>
      <c r="B36" s="2" t="s">
        <v>358</v>
      </c>
      <c r="C36" s="10" t="s">
        <v>91</v>
      </c>
      <c r="D36" s="10" t="s">
        <v>362</v>
      </c>
    </row>
    <row r="37" spans="1:5">
      <c r="A37" s="2" t="s">
        <v>32</v>
      </c>
      <c r="B37" s="2" t="s">
        <v>228</v>
      </c>
      <c r="C37" s="10" t="s">
        <v>91</v>
      </c>
      <c r="D37" s="10" t="s">
        <v>268</v>
      </c>
    </row>
    <row r="38" spans="1:5">
      <c r="A38" s="2" t="s">
        <v>32</v>
      </c>
      <c r="B38" s="2" t="s">
        <v>229</v>
      </c>
      <c r="C38" s="10" t="s">
        <v>91</v>
      </c>
      <c r="D38" s="10" t="s">
        <v>269</v>
      </c>
    </row>
    <row r="39" spans="1:5">
      <c r="A39" s="2" t="s">
        <v>32</v>
      </c>
      <c r="B39" s="2" t="s">
        <v>230</v>
      </c>
      <c r="C39" s="10" t="s">
        <v>91</v>
      </c>
      <c r="D39" s="10" t="s">
        <v>270</v>
      </c>
    </row>
    <row r="40" spans="1:5">
      <c r="A40" s="2" t="s">
        <v>32</v>
      </c>
      <c r="B40" s="2" t="s">
        <v>231</v>
      </c>
      <c r="C40" s="10" t="s">
        <v>91</v>
      </c>
      <c r="D40" s="10" t="s">
        <v>271</v>
      </c>
    </row>
    <row r="41" spans="1:5">
      <c r="A41" s="2" t="s">
        <v>32</v>
      </c>
      <c r="B41" s="2" t="s">
        <v>232</v>
      </c>
      <c r="C41" s="10" t="s">
        <v>91</v>
      </c>
      <c r="D41" s="10" t="s">
        <v>272</v>
      </c>
    </row>
    <row r="42" spans="1:5">
      <c r="A42" s="2" t="s">
        <v>32</v>
      </c>
      <c r="B42" s="2" t="s">
        <v>242</v>
      </c>
      <c r="C42" s="10" t="s">
        <v>91</v>
      </c>
      <c r="D42" s="10" t="s">
        <v>273</v>
      </c>
    </row>
    <row r="43" spans="1:5">
      <c r="A43" s="12"/>
      <c r="B43" s="2"/>
      <c r="C43" s="10"/>
      <c r="D43" s="10"/>
    </row>
    <row r="44" spans="1:5">
      <c r="A44" s="2" t="s">
        <v>32</v>
      </c>
      <c r="B44" s="2" t="s">
        <v>216</v>
      </c>
      <c r="C44" s="10" t="s">
        <v>91</v>
      </c>
      <c r="D44" s="10" t="s">
        <v>209</v>
      </c>
    </row>
    <row r="45" spans="1:5">
      <c r="A45" s="2" t="s">
        <v>32</v>
      </c>
      <c r="B45" s="12" t="s">
        <v>233</v>
      </c>
      <c r="C45" s="10" t="s">
        <v>91</v>
      </c>
      <c r="D45" s="10" t="s">
        <v>44</v>
      </c>
    </row>
    <row r="46" spans="1:5">
      <c r="A46" s="2" t="s">
        <v>32</v>
      </c>
      <c r="B46" s="12" t="s">
        <v>234</v>
      </c>
      <c r="C46" s="10" t="s">
        <v>91</v>
      </c>
      <c r="D46" s="10" t="s">
        <v>353</v>
      </c>
    </row>
    <row r="47" spans="1:5">
      <c r="A47" s="2" t="s">
        <v>32</v>
      </c>
      <c r="B47" s="12" t="s">
        <v>223</v>
      </c>
      <c r="C47" s="10" t="s">
        <v>91</v>
      </c>
      <c r="D47" s="10" t="s">
        <v>354</v>
      </c>
      <c r="E47" s="9" t="s">
        <v>41</v>
      </c>
    </row>
    <row r="48" spans="1:5">
      <c r="A48" s="2" t="s">
        <v>32</v>
      </c>
      <c r="B48" s="2" t="s">
        <v>359</v>
      </c>
      <c r="C48" s="10" t="s">
        <v>91</v>
      </c>
      <c r="D48" s="10" t="s">
        <v>363</v>
      </c>
    </row>
    <row r="49" spans="1:4">
      <c r="A49" s="2" t="s">
        <v>32</v>
      </c>
      <c r="B49" s="2" t="s">
        <v>235</v>
      </c>
      <c r="C49" s="10" t="s">
        <v>91</v>
      </c>
      <c r="D49" s="10" t="s">
        <v>45</v>
      </c>
    </row>
    <row r="50" spans="1:4">
      <c r="A50" s="2" t="s">
        <v>32</v>
      </c>
      <c r="B50" s="2" t="s">
        <v>236</v>
      </c>
      <c r="C50" s="10" t="s">
        <v>91</v>
      </c>
      <c r="D50" s="10" t="s">
        <v>46</v>
      </c>
    </row>
    <row r="51" spans="1:4">
      <c r="A51" s="2" t="s">
        <v>32</v>
      </c>
      <c r="B51" s="2" t="s">
        <v>237</v>
      </c>
      <c r="C51" s="10" t="s">
        <v>91</v>
      </c>
      <c r="D51" s="10" t="s">
        <v>47</v>
      </c>
    </row>
    <row r="52" spans="1:4">
      <c r="A52" s="2" t="s">
        <v>32</v>
      </c>
      <c r="B52" s="2" t="s">
        <v>238</v>
      </c>
      <c r="C52" s="10" t="s">
        <v>91</v>
      </c>
      <c r="D52" s="10" t="s">
        <v>48</v>
      </c>
    </row>
    <row r="53" spans="1:4">
      <c r="A53" s="2" t="s">
        <v>32</v>
      </c>
      <c r="B53" s="2" t="s">
        <v>239</v>
      </c>
      <c r="C53" s="10" t="s">
        <v>91</v>
      </c>
      <c r="D53" s="10" t="s">
        <v>49</v>
      </c>
    </row>
    <row r="54" spans="1:4">
      <c r="A54" s="2" t="s">
        <v>32</v>
      </c>
      <c r="B54" s="2" t="s">
        <v>243</v>
      </c>
      <c r="C54" s="10" t="s">
        <v>91</v>
      </c>
      <c r="D54" s="10" t="s">
        <v>244</v>
      </c>
    </row>
    <row r="55" spans="1:4">
      <c r="A55" s="12"/>
      <c r="B55" s="2"/>
      <c r="C55" s="10"/>
      <c r="D55" s="10"/>
    </row>
    <row r="56" spans="1:4">
      <c r="A56" s="2" t="s">
        <v>32</v>
      </c>
      <c r="B56" s="12" t="s">
        <v>52</v>
      </c>
      <c r="C56" s="10" t="s">
        <v>91</v>
      </c>
      <c r="D56" s="10" t="s">
        <v>208</v>
      </c>
    </row>
    <row r="57" spans="1:4">
      <c r="A57" s="2" t="s">
        <v>32</v>
      </c>
      <c r="B57" s="12" t="s">
        <v>93</v>
      </c>
      <c r="C57" s="10" t="s">
        <v>91</v>
      </c>
      <c r="D57" s="10" t="s">
        <v>99</v>
      </c>
    </row>
    <row r="58" spans="1:4">
      <c r="A58" s="2" t="s">
        <v>32</v>
      </c>
      <c r="B58" s="12" t="s">
        <v>56</v>
      </c>
      <c r="C58" s="10" t="s">
        <v>91</v>
      </c>
      <c r="D58" s="10" t="s">
        <v>100</v>
      </c>
    </row>
    <row r="59" spans="1:4">
      <c r="A59" s="2" t="s">
        <v>32</v>
      </c>
      <c r="B59" s="12" t="s">
        <v>51</v>
      </c>
      <c r="C59" s="10" t="s">
        <v>91</v>
      </c>
      <c r="D59" s="10" t="s">
        <v>101</v>
      </c>
    </row>
    <row r="60" spans="1:4">
      <c r="A60" s="2" t="s">
        <v>32</v>
      </c>
      <c r="B60" s="2" t="s">
        <v>364</v>
      </c>
      <c r="C60" s="10" t="s">
        <v>91</v>
      </c>
      <c r="D60" s="10" t="s">
        <v>365</v>
      </c>
    </row>
    <row r="61" spans="1:4">
      <c r="A61" s="2" t="s">
        <v>32</v>
      </c>
      <c r="B61" s="2" t="s">
        <v>94</v>
      </c>
      <c r="C61" s="10" t="s">
        <v>91</v>
      </c>
      <c r="D61" s="10" t="s">
        <v>102</v>
      </c>
    </row>
    <row r="62" spans="1:4">
      <c r="A62" s="2" t="s">
        <v>32</v>
      </c>
      <c r="B62" s="2" t="s">
        <v>95</v>
      </c>
      <c r="C62" s="10" t="s">
        <v>91</v>
      </c>
      <c r="D62" s="10" t="s">
        <v>103</v>
      </c>
    </row>
    <row r="63" spans="1:4">
      <c r="A63" s="2" t="s">
        <v>32</v>
      </c>
      <c r="B63" s="2" t="s">
        <v>96</v>
      </c>
      <c r="C63" s="10" t="s">
        <v>91</v>
      </c>
      <c r="D63" s="10" t="s">
        <v>104</v>
      </c>
    </row>
    <row r="64" spans="1:4">
      <c r="A64" s="2" t="s">
        <v>32</v>
      </c>
      <c r="B64" s="2" t="s">
        <v>97</v>
      </c>
      <c r="C64" s="10" t="s">
        <v>91</v>
      </c>
      <c r="D64" s="10" t="s">
        <v>105</v>
      </c>
    </row>
    <row r="65" spans="1:4">
      <c r="A65" s="2" t="s">
        <v>32</v>
      </c>
      <c r="B65" s="2" t="s">
        <v>98</v>
      </c>
      <c r="C65" s="10" t="s">
        <v>91</v>
      </c>
      <c r="D65" s="10" t="s">
        <v>106</v>
      </c>
    </row>
    <row r="66" spans="1:4">
      <c r="A66" s="2" t="s">
        <v>32</v>
      </c>
      <c r="B66" s="2" t="s">
        <v>255</v>
      </c>
      <c r="C66" s="10" t="s">
        <v>91</v>
      </c>
      <c r="D66" s="10" t="s">
        <v>245</v>
      </c>
    </row>
    <row r="67" spans="1:4">
      <c r="A67" s="2"/>
      <c r="B67" s="2"/>
      <c r="C67" s="10"/>
      <c r="D67" s="10"/>
    </row>
    <row r="68" spans="1:4">
      <c r="A68" s="2" t="s">
        <v>32</v>
      </c>
      <c r="B68" s="2" t="s">
        <v>399</v>
      </c>
      <c r="C68" s="10" t="s">
        <v>91</v>
      </c>
      <c r="D68" s="10" t="s">
        <v>410</v>
      </c>
    </row>
    <row r="69" spans="1:4">
      <c r="A69" s="2" t="s">
        <v>32</v>
      </c>
      <c r="B69" s="12" t="s">
        <v>400</v>
      </c>
      <c r="C69" s="10" t="s">
        <v>91</v>
      </c>
      <c r="D69" s="10" t="s">
        <v>411</v>
      </c>
    </row>
    <row r="70" spans="1:4">
      <c r="A70" s="2" t="s">
        <v>32</v>
      </c>
      <c r="B70" s="12" t="s">
        <v>401</v>
      </c>
      <c r="C70" s="10" t="s">
        <v>91</v>
      </c>
      <c r="D70" s="10" t="s">
        <v>412</v>
      </c>
    </row>
    <row r="71" spans="1:4">
      <c r="A71" s="2" t="s">
        <v>32</v>
      </c>
      <c r="B71" s="12" t="s">
        <v>402</v>
      </c>
      <c r="C71" s="10" t="s">
        <v>91</v>
      </c>
      <c r="D71" s="10" t="s">
        <v>413</v>
      </c>
    </row>
    <row r="72" spans="1:4">
      <c r="A72" s="2" t="s">
        <v>32</v>
      </c>
      <c r="B72" s="2" t="s">
        <v>403</v>
      </c>
      <c r="C72" s="10" t="s">
        <v>91</v>
      </c>
      <c r="D72" s="10" t="s">
        <v>414</v>
      </c>
    </row>
    <row r="73" spans="1:4">
      <c r="A73" s="2" t="s">
        <v>32</v>
      </c>
      <c r="B73" s="2" t="s">
        <v>404</v>
      </c>
      <c r="C73" s="10" t="s">
        <v>91</v>
      </c>
      <c r="D73" s="10" t="s">
        <v>415</v>
      </c>
    </row>
    <row r="74" spans="1:4">
      <c r="A74" s="2" t="s">
        <v>32</v>
      </c>
      <c r="B74" s="2" t="s">
        <v>405</v>
      </c>
      <c r="C74" s="10" t="s">
        <v>91</v>
      </c>
      <c r="D74" s="10" t="s">
        <v>416</v>
      </c>
    </row>
    <row r="75" spans="1:4">
      <c r="A75" s="2" t="s">
        <v>32</v>
      </c>
      <c r="B75" s="2" t="s">
        <v>406</v>
      </c>
      <c r="C75" s="10" t="s">
        <v>91</v>
      </c>
      <c r="D75" s="10" t="s">
        <v>417</v>
      </c>
    </row>
    <row r="76" spans="1:4">
      <c r="A76" s="2" t="s">
        <v>32</v>
      </c>
      <c r="B76" s="2" t="s">
        <v>407</v>
      </c>
      <c r="C76" s="10" t="s">
        <v>91</v>
      </c>
      <c r="D76" s="10" t="s">
        <v>418</v>
      </c>
    </row>
    <row r="77" spans="1:4">
      <c r="A77" s="2" t="s">
        <v>32</v>
      </c>
      <c r="B77" s="2" t="s">
        <v>408</v>
      </c>
      <c r="C77" s="10" t="s">
        <v>91</v>
      </c>
      <c r="D77" s="10" t="s">
        <v>419</v>
      </c>
    </row>
    <row r="78" spans="1:4">
      <c r="A78" s="2" t="s">
        <v>32</v>
      </c>
      <c r="B78" s="2" t="s">
        <v>409</v>
      </c>
      <c r="C78" s="10" t="s">
        <v>91</v>
      </c>
      <c r="D78" s="10" t="s">
        <v>420</v>
      </c>
    </row>
    <row r="79" spans="1:4">
      <c r="A79" s="2"/>
      <c r="B79" s="2"/>
      <c r="C79" s="10"/>
      <c r="D79" s="10"/>
    </row>
    <row r="80" spans="1:4">
      <c r="A80" s="2" t="s">
        <v>32</v>
      </c>
      <c r="B80" s="2" t="s">
        <v>421</v>
      </c>
      <c r="C80" s="10" t="s">
        <v>91</v>
      </c>
      <c r="D80" s="10" t="s">
        <v>431</v>
      </c>
    </row>
    <row r="81" spans="1:4">
      <c r="A81" s="2" t="s">
        <v>32</v>
      </c>
      <c r="B81" s="12" t="s">
        <v>422</v>
      </c>
      <c r="C81" s="10" t="s">
        <v>91</v>
      </c>
      <c r="D81" s="10" t="s">
        <v>432</v>
      </c>
    </row>
    <row r="82" spans="1:4">
      <c r="A82" s="2" t="s">
        <v>32</v>
      </c>
      <c r="B82" s="12" t="s">
        <v>423</v>
      </c>
      <c r="C82" s="10" t="s">
        <v>91</v>
      </c>
      <c r="D82" s="10" t="s">
        <v>433</v>
      </c>
    </row>
    <row r="83" spans="1:4">
      <c r="A83" s="2" t="s">
        <v>32</v>
      </c>
      <c r="B83" s="12" t="s">
        <v>424</v>
      </c>
      <c r="C83" s="10" t="s">
        <v>91</v>
      </c>
      <c r="D83" s="10" t="s">
        <v>434</v>
      </c>
    </row>
    <row r="84" spans="1:4">
      <c r="A84" s="2" t="s">
        <v>32</v>
      </c>
      <c r="B84" s="2" t="s">
        <v>382</v>
      </c>
      <c r="C84" s="10" t="s">
        <v>91</v>
      </c>
      <c r="D84" s="10" t="s">
        <v>435</v>
      </c>
    </row>
    <row r="85" spans="1:4">
      <c r="A85" s="2" t="s">
        <v>32</v>
      </c>
      <c r="B85" s="2" t="s">
        <v>425</v>
      </c>
      <c r="C85" s="10" t="s">
        <v>91</v>
      </c>
      <c r="D85" s="10" t="s">
        <v>436</v>
      </c>
    </row>
    <row r="86" spans="1:4">
      <c r="A86" s="2" t="s">
        <v>32</v>
      </c>
      <c r="B86" s="2" t="s">
        <v>426</v>
      </c>
      <c r="C86" s="10" t="s">
        <v>91</v>
      </c>
      <c r="D86" s="10" t="s">
        <v>437</v>
      </c>
    </row>
    <row r="87" spans="1:4">
      <c r="A87" s="2" t="s">
        <v>32</v>
      </c>
      <c r="B87" s="2" t="s">
        <v>427</v>
      </c>
      <c r="C87" s="10" t="s">
        <v>91</v>
      </c>
      <c r="D87" s="10" t="s">
        <v>438</v>
      </c>
    </row>
    <row r="88" spans="1:4">
      <c r="A88" s="2" t="s">
        <v>32</v>
      </c>
      <c r="B88" s="2" t="s">
        <v>428</v>
      </c>
      <c r="C88" s="10" t="s">
        <v>91</v>
      </c>
      <c r="D88" s="10" t="s">
        <v>439</v>
      </c>
    </row>
    <row r="89" spans="1:4">
      <c r="A89" s="2" t="s">
        <v>32</v>
      </c>
      <c r="B89" s="2" t="s">
        <v>429</v>
      </c>
      <c r="C89" s="10" t="s">
        <v>91</v>
      </c>
      <c r="D89" s="10" t="s">
        <v>440</v>
      </c>
    </row>
    <row r="90" spans="1:4">
      <c r="A90" s="2" t="s">
        <v>32</v>
      </c>
      <c r="B90" s="2" t="s">
        <v>430</v>
      </c>
      <c r="C90" s="10" t="s">
        <v>91</v>
      </c>
      <c r="D90" s="10" t="s">
        <v>441</v>
      </c>
    </row>
    <row r="91" spans="1:4">
      <c r="A91" s="2"/>
      <c r="B91" s="2"/>
      <c r="C91" s="10"/>
      <c r="D91" s="10"/>
    </row>
    <row r="92" spans="1:4">
      <c r="A92" s="2"/>
      <c r="B92" s="2"/>
      <c r="C92" s="10"/>
      <c r="D92" s="10"/>
    </row>
    <row r="93" spans="1:4">
      <c r="A93" s="2"/>
      <c r="B93" s="2"/>
      <c r="C93" s="10"/>
      <c r="D93" s="10"/>
    </row>
    <row r="94" spans="1:4">
      <c r="A94" s="2"/>
      <c r="B94" s="2"/>
      <c r="C94" s="10"/>
      <c r="D94" s="10"/>
    </row>
    <row r="95" spans="1:4">
      <c r="A95" s="2"/>
      <c r="B95" s="2"/>
      <c r="C95" s="10"/>
      <c r="D95" s="10"/>
    </row>
    <row r="96" spans="1:4">
      <c r="A96" s="12"/>
      <c r="B96" s="12"/>
      <c r="C96" s="10"/>
      <c r="D96" s="10"/>
    </row>
    <row r="97" spans="1:4">
      <c r="A97" s="12"/>
      <c r="B97" s="12"/>
      <c r="C97" s="10"/>
      <c r="D97" s="10"/>
    </row>
    <row r="98" spans="1:4">
      <c r="A98" s="2" t="s">
        <v>42</v>
      </c>
      <c r="B98" s="2" t="s">
        <v>43</v>
      </c>
      <c r="C98" s="10" t="s">
        <v>112</v>
      </c>
      <c r="D98" s="10" t="s">
        <v>113</v>
      </c>
    </row>
    <row r="99" spans="1:4">
      <c r="A99" s="12"/>
      <c r="B99" s="12"/>
      <c r="C99" s="10"/>
      <c r="D99" s="10"/>
    </row>
    <row r="100" spans="1:4">
      <c r="A100" s="2" t="s">
        <v>283</v>
      </c>
      <c r="B100" s="2" t="s">
        <v>107</v>
      </c>
      <c r="C100" s="10" t="s">
        <v>158</v>
      </c>
      <c r="D100" s="10" t="s">
        <v>184</v>
      </c>
    </row>
    <row r="101" spans="1:4">
      <c r="A101" s="2" t="s">
        <v>283</v>
      </c>
      <c r="B101" s="2" t="s">
        <v>114</v>
      </c>
      <c r="C101" s="10" t="s">
        <v>158</v>
      </c>
      <c r="D101" s="10" t="s">
        <v>185</v>
      </c>
    </row>
    <row r="102" spans="1:4">
      <c r="A102" s="2" t="s">
        <v>283</v>
      </c>
      <c r="B102" s="2" t="s">
        <v>115</v>
      </c>
      <c r="C102" s="10" t="s">
        <v>158</v>
      </c>
      <c r="D102" s="10" t="s">
        <v>186</v>
      </c>
    </row>
    <row r="103" spans="1:4">
      <c r="A103" s="2" t="s">
        <v>283</v>
      </c>
      <c r="B103" s="2" t="s">
        <v>116</v>
      </c>
      <c r="C103" s="10" t="s">
        <v>158</v>
      </c>
      <c r="D103" s="10" t="s">
        <v>187</v>
      </c>
    </row>
    <row r="104" spans="1:4">
      <c r="A104" s="2" t="s">
        <v>283</v>
      </c>
      <c r="B104" s="2" t="s">
        <v>117</v>
      </c>
      <c r="C104" s="10" t="s">
        <v>158</v>
      </c>
      <c r="D104" s="10" t="s">
        <v>188</v>
      </c>
    </row>
    <row r="105" spans="1:4">
      <c r="A105" s="2"/>
      <c r="B105"/>
    </row>
    <row r="106" spans="1:4">
      <c r="A106" s="2" t="s">
        <v>283</v>
      </c>
      <c r="B106" s="2" t="s">
        <v>118</v>
      </c>
      <c r="C106" s="10" t="s">
        <v>158</v>
      </c>
      <c r="D106" s="10" t="s">
        <v>352</v>
      </c>
    </row>
    <row r="107" spans="1:4">
      <c r="A107" s="2" t="s">
        <v>283</v>
      </c>
      <c r="B107" s="2" t="s">
        <v>119</v>
      </c>
      <c r="C107" s="10" t="s">
        <v>158</v>
      </c>
      <c r="D107" s="10" t="s">
        <v>189</v>
      </c>
    </row>
    <row r="108" spans="1:4">
      <c r="A108" s="2" t="s">
        <v>283</v>
      </c>
      <c r="B108" s="2" t="s">
        <v>120</v>
      </c>
      <c r="C108" s="10" t="s">
        <v>158</v>
      </c>
      <c r="D108" s="10" t="s">
        <v>190</v>
      </c>
    </row>
    <row r="109" spans="1:4">
      <c r="A109" s="2" t="s">
        <v>283</v>
      </c>
      <c r="B109" s="2" t="s">
        <v>121</v>
      </c>
      <c r="C109" s="10" t="s">
        <v>158</v>
      </c>
      <c r="D109" s="10" t="s">
        <v>191</v>
      </c>
    </row>
    <row r="110" spans="1:4">
      <c r="A110" s="2" t="s">
        <v>283</v>
      </c>
      <c r="B110" s="2" t="s">
        <v>122</v>
      </c>
      <c r="C110" s="10" t="s">
        <v>158</v>
      </c>
      <c r="D110" s="10" t="s">
        <v>192</v>
      </c>
    </row>
    <row r="111" spans="1:4">
      <c r="A111" s="2"/>
    </row>
    <row r="112" spans="1:4">
      <c r="A112" s="2" t="s">
        <v>283</v>
      </c>
      <c r="B112" s="2" t="s">
        <v>123</v>
      </c>
      <c r="C112" s="10" t="s">
        <v>158</v>
      </c>
      <c r="D112" s="2" t="s">
        <v>346</v>
      </c>
    </row>
    <row r="113" spans="1:4">
      <c r="A113" s="2" t="s">
        <v>283</v>
      </c>
      <c r="B113" s="2" t="s">
        <v>124</v>
      </c>
      <c r="C113" s="10" t="s">
        <v>158</v>
      </c>
      <c r="D113" s="2" t="s">
        <v>347</v>
      </c>
    </row>
    <row r="114" spans="1:4">
      <c r="A114" s="2" t="s">
        <v>283</v>
      </c>
      <c r="B114" s="2" t="s">
        <v>125</v>
      </c>
      <c r="C114" s="10" t="s">
        <v>158</v>
      </c>
      <c r="D114" s="2" t="s">
        <v>348</v>
      </c>
    </row>
    <row r="115" spans="1:4">
      <c r="A115" s="2" t="s">
        <v>283</v>
      </c>
      <c r="B115" s="2" t="s">
        <v>349</v>
      </c>
      <c r="C115" s="10" t="s">
        <v>158</v>
      </c>
      <c r="D115" s="2" t="s">
        <v>349</v>
      </c>
    </row>
    <row r="116" spans="1:4">
      <c r="A116" s="2" t="s">
        <v>283</v>
      </c>
      <c r="B116" s="2" t="s">
        <v>342</v>
      </c>
      <c r="C116" s="10" t="s">
        <v>158</v>
      </c>
      <c r="D116" s="2" t="s">
        <v>342</v>
      </c>
    </row>
    <row r="117" spans="1:4">
      <c r="A117" s="13"/>
    </row>
    <row r="118" spans="1:4">
      <c r="A118" s="2" t="s">
        <v>283</v>
      </c>
      <c r="B118" s="2" t="s">
        <v>126</v>
      </c>
      <c r="C118" s="10" t="s">
        <v>158</v>
      </c>
      <c r="D118" s="10" t="s">
        <v>193</v>
      </c>
    </row>
    <row r="119" spans="1:4">
      <c r="A119" s="2" t="s">
        <v>283</v>
      </c>
      <c r="B119" s="2" t="s">
        <v>127</v>
      </c>
      <c r="C119" s="10" t="s">
        <v>158</v>
      </c>
      <c r="D119" s="10" t="s">
        <v>194</v>
      </c>
    </row>
    <row r="120" spans="1:4">
      <c r="A120" s="2" t="s">
        <v>283</v>
      </c>
      <c r="B120" s="2" t="s">
        <v>128</v>
      </c>
      <c r="C120" s="10" t="s">
        <v>158</v>
      </c>
      <c r="D120" s="10" t="s">
        <v>195</v>
      </c>
    </row>
    <row r="121" spans="1:4">
      <c r="A121" s="2" t="s">
        <v>283</v>
      </c>
      <c r="B121" s="2" t="s">
        <v>129</v>
      </c>
      <c r="C121" s="10" t="s">
        <v>158</v>
      </c>
      <c r="D121" s="10" t="s">
        <v>196</v>
      </c>
    </row>
    <row r="122" spans="1:4">
      <c r="A122" s="2" t="s">
        <v>283</v>
      </c>
      <c r="B122" s="2" t="s">
        <v>130</v>
      </c>
      <c r="C122" s="10" t="s">
        <v>158</v>
      </c>
      <c r="D122" s="10" t="s">
        <v>197</v>
      </c>
    </row>
    <row r="123" spans="1:4">
      <c r="A123" s="13"/>
    </row>
    <row r="124" spans="1:4">
      <c r="A124" s="2" t="s">
        <v>283</v>
      </c>
      <c r="B124" s="2" t="s">
        <v>131</v>
      </c>
      <c r="C124" s="10" t="s">
        <v>158</v>
      </c>
      <c r="D124" s="10" t="s">
        <v>198</v>
      </c>
    </row>
    <row r="125" spans="1:4">
      <c r="A125" s="2" t="s">
        <v>283</v>
      </c>
      <c r="B125" s="2" t="s">
        <v>132</v>
      </c>
      <c r="C125" s="10" t="s">
        <v>158</v>
      </c>
      <c r="D125" s="10" t="s">
        <v>199</v>
      </c>
    </row>
    <row r="126" spans="1:4">
      <c r="A126" s="2" t="s">
        <v>283</v>
      </c>
      <c r="B126" s="2" t="s">
        <v>133</v>
      </c>
      <c r="C126" s="10" t="s">
        <v>158</v>
      </c>
      <c r="D126" s="10" t="s">
        <v>200</v>
      </c>
    </row>
    <row r="127" spans="1:4">
      <c r="A127" s="2" t="s">
        <v>283</v>
      </c>
      <c r="B127" s="2" t="s">
        <v>134</v>
      </c>
      <c r="C127" s="10" t="s">
        <v>158</v>
      </c>
      <c r="D127" s="10" t="s">
        <v>201</v>
      </c>
    </row>
    <row r="128" spans="1:4">
      <c r="A128" s="2" t="s">
        <v>283</v>
      </c>
      <c r="B128" s="2" t="s">
        <v>135</v>
      </c>
      <c r="C128" s="10" t="s">
        <v>158</v>
      </c>
      <c r="D128" s="10" t="s">
        <v>202</v>
      </c>
    </row>
    <row r="129" spans="1:4">
      <c r="A129" s="13"/>
    </row>
    <row r="130" spans="1:4">
      <c r="A130" s="2" t="s">
        <v>283</v>
      </c>
      <c r="B130" s="2" t="s">
        <v>139</v>
      </c>
      <c r="C130" s="10" t="s">
        <v>158</v>
      </c>
      <c r="D130" s="10" t="s">
        <v>163</v>
      </c>
    </row>
    <row r="131" spans="1:4">
      <c r="A131" s="2" t="s">
        <v>283</v>
      </c>
      <c r="B131" s="2" t="s">
        <v>140</v>
      </c>
      <c r="C131" s="10" t="s">
        <v>158</v>
      </c>
      <c r="D131" s="10" t="s">
        <v>159</v>
      </c>
    </row>
    <row r="132" spans="1:4">
      <c r="A132" s="2" t="s">
        <v>283</v>
      </c>
      <c r="B132" s="2" t="s">
        <v>141</v>
      </c>
      <c r="C132" s="10" t="s">
        <v>158</v>
      </c>
      <c r="D132" s="10" t="s">
        <v>160</v>
      </c>
    </row>
    <row r="133" spans="1:4">
      <c r="A133" s="2" t="s">
        <v>283</v>
      </c>
      <c r="B133" s="2" t="s">
        <v>142</v>
      </c>
      <c r="C133" s="10" t="s">
        <v>158</v>
      </c>
      <c r="D133" s="10" t="s">
        <v>161</v>
      </c>
    </row>
    <row r="134" spans="1:4">
      <c r="A134" s="2" t="s">
        <v>283</v>
      </c>
      <c r="B134" s="2" t="s">
        <v>143</v>
      </c>
      <c r="C134" s="10" t="s">
        <v>158</v>
      </c>
      <c r="D134" s="10" t="s">
        <v>162</v>
      </c>
    </row>
    <row r="135" spans="1:4">
      <c r="A135" s="13"/>
      <c r="B135"/>
    </row>
    <row r="136" spans="1:4">
      <c r="A136" s="2" t="s">
        <v>283</v>
      </c>
      <c r="B136" s="2" t="s">
        <v>144</v>
      </c>
      <c r="C136" s="10" t="s">
        <v>158</v>
      </c>
      <c r="D136" s="10" t="s">
        <v>169</v>
      </c>
    </row>
    <row r="137" spans="1:4">
      <c r="A137" s="2" t="s">
        <v>283</v>
      </c>
      <c r="B137" s="2" t="s">
        <v>145</v>
      </c>
      <c r="C137" s="10" t="s">
        <v>158</v>
      </c>
      <c r="D137" s="10" t="s">
        <v>173</v>
      </c>
    </row>
    <row r="138" spans="1:4">
      <c r="A138" s="2" t="s">
        <v>283</v>
      </c>
      <c r="B138" s="2" t="s">
        <v>146</v>
      </c>
      <c r="C138" s="10" t="s">
        <v>158</v>
      </c>
      <c r="D138" s="10" t="s">
        <v>170</v>
      </c>
    </row>
    <row r="139" spans="1:4">
      <c r="A139" s="2" t="s">
        <v>283</v>
      </c>
      <c r="B139" s="2" t="s">
        <v>147</v>
      </c>
      <c r="C139" s="10" t="s">
        <v>158</v>
      </c>
      <c r="D139" s="10" t="s">
        <v>171</v>
      </c>
    </row>
    <row r="140" spans="1:4">
      <c r="A140" s="2" t="s">
        <v>283</v>
      </c>
      <c r="B140" s="2" t="s">
        <v>148</v>
      </c>
      <c r="C140" s="10" t="s">
        <v>158</v>
      </c>
      <c r="D140" s="10" t="s">
        <v>172</v>
      </c>
    </row>
    <row r="141" spans="1:4">
      <c r="A141" s="14"/>
    </row>
    <row r="142" spans="1:4">
      <c r="A142" s="2" t="s">
        <v>283</v>
      </c>
      <c r="B142" s="2" t="s">
        <v>111</v>
      </c>
      <c r="C142" s="10" t="s">
        <v>158</v>
      </c>
      <c r="D142" s="10" t="s">
        <v>178</v>
      </c>
    </row>
    <row r="143" spans="1:4">
      <c r="A143" s="2" t="s">
        <v>283</v>
      </c>
      <c r="B143" s="2" t="s">
        <v>149</v>
      </c>
      <c r="C143" s="10" t="s">
        <v>158</v>
      </c>
      <c r="D143" s="10" t="s">
        <v>174</v>
      </c>
    </row>
    <row r="144" spans="1:4">
      <c r="A144" s="2" t="s">
        <v>283</v>
      </c>
      <c r="B144" s="2" t="s">
        <v>150</v>
      </c>
      <c r="C144" s="10" t="s">
        <v>158</v>
      </c>
      <c r="D144" s="10" t="s">
        <v>175</v>
      </c>
    </row>
    <row r="145" spans="1:4">
      <c r="A145" s="2" t="s">
        <v>283</v>
      </c>
      <c r="B145" s="2" t="s">
        <v>151</v>
      </c>
      <c r="C145" s="10" t="s">
        <v>158</v>
      </c>
      <c r="D145" s="10" t="s">
        <v>176</v>
      </c>
    </row>
    <row r="146" spans="1:4">
      <c r="A146" s="2" t="s">
        <v>283</v>
      </c>
      <c r="B146" s="2" t="s">
        <v>152</v>
      </c>
      <c r="C146" s="10" t="s">
        <v>158</v>
      </c>
      <c r="D146" s="10" t="s">
        <v>177</v>
      </c>
    </row>
    <row r="147" spans="1:4">
      <c r="A147" s="14"/>
    </row>
    <row r="148" spans="1:4">
      <c r="A148" s="2" t="s">
        <v>283</v>
      </c>
      <c r="B148" s="2" t="s">
        <v>110</v>
      </c>
      <c r="C148" s="10" t="s">
        <v>158</v>
      </c>
      <c r="D148" s="10" t="s">
        <v>179</v>
      </c>
    </row>
    <row r="149" spans="1:4">
      <c r="A149" s="2" t="s">
        <v>283</v>
      </c>
      <c r="B149" s="2" t="s">
        <v>153</v>
      </c>
      <c r="C149" s="10" t="s">
        <v>158</v>
      </c>
      <c r="D149" s="10" t="s">
        <v>180</v>
      </c>
    </row>
    <row r="150" spans="1:4">
      <c r="A150" s="2" t="s">
        <v>283</v>
      </c>
      <c r="B150" s="2" t="s">
        <v>154</v>
      </c>
      <c r="C150" s="10" t="s">
        <v>158</v>
      </c>
      <c r="D150" s="10" t="s">
        <v>183</v>
      </c>
    </row>
    <row r="151" spans="1:4">
      <c r="A151" s="2" t="s">
        <v>283</v>
      </c>
      <c r="B151" s="2" t="s">
        <v>155</v>
      </c>
      <c r="C151" s="10" t="s">
        <v>158</v>
      </c>
      <c r="D151" s="10" t="s">
        <v>181</v>
      </c>
    </row>
    <row r="152" spans="1:4">
      <c r="A152" s="2" t="s">
        <v>283</v>
      </c>
      <c r="B152" s="2" t="s">
        <v>156</v>
      </c>
      <c r="C152" s="10" t="s">
        <v>158</v>
      </c>
      <c r="D152" s="10" t="s">
        <v>182</v>
      </c>
    </row>
    <row r="153" spans="1:4">
      <c r="A153" s="14"/>
    </row>
    <row r="154" spans="1:4">
      <c r="A154" s="2" t="s">
        <v>283</v>
      </c>
      <c r="B154" s="2" t="s">
        <v>136</v>
      </c>
      <c r="C154" s="10" t="s">
        <v>158</v>
      </c>
      <c r="D154" s="10" t="s">
        <v>164</v>
      </c>
    </row>
    <row r="155" spans="1:4">
      <c r="A155" s="2" t="s">
        <v>283</v>
      </c>
      <c r="B155" s="2" t="s">
        <v>137</v>
      </c>
      <c r="C155" s="10" t="s">
        <v>158</v>
      </c>
      <c r="D155" s="10" t="s">
        <v>165</v>
      </c>
    </row>
    <row r="156" spans="1:4">
      <c r="A156" s="2" t="s">
        <v>283</v>
      </c>
      <c r="B156" s="2" t="s">
        <v>108</v>
      </c>
      <c r="C156" s="10" t="s">
        <v>158</v>
      </c>
      <c r="D156" s="10" t="s">
        <v>166</v>
      </c>
    </row>
    <row r="157" spans="1:4">
      <c r="A157" s="2" t="s">
        <v>283</v>
      </c>
      <c r="B157" s="2" t="s">
        <v>138</v>
      </c>
      <c r="C157" s="10" t="s">
        <v>158</v>
      </c>
      <c r="D157" s="10" t="s">
        <v>167</v>
      </c>
    </row>
    <row r="158" spans="1:4">
      <c r="A158" s="2" t="s">
        <v>283</v>
      </c>
      <c r="B158" s="2" t="s">
        <v>157</v>
      </c>
      <c r="C158" s="10" t="s">
        <v>158</v>
      </c>
      <c r="D158" s="10" t="s">
        <v>168</v>
      </c>
    </row>
    <row r="159" spans="1:4">
      <c r="A159" s="14"/>
      <c r="B159" s="14"/>
    </row>
    <row r="160" spans="1:4">
      <c r="A160" s="2" t="s">
        <v>34</v>
      </c>
      <c r="B160" s="14" t="s">
        <v>203</v>
      </c>
      <c r="C160" s="9" t="s">
        <v>205</v>
      </c>
      <c r="D160" s="9" t="s">
        <v>207</v>
      </c>
    </row>
    <row r="161" spans="1:4">
      <c r="A161" s="2" t="s">
        <v>34</v>
      </c>
      <c r="B161" s="14" t="s">
        <v>204</v>
      </c>
      <c r="C161" s="9" t="s">
        <v>205</v>
      </c>
      <c r="D161" s="9" t="s">
        <v>206</v>
      </c>
    </row>
    <row r="162" spans="1:4">
      <c r="A162" s="2"/>
      <c r="B162" s="14"/>
    </row>
    <row r="163" spans="1:4">
      <c r="A163" s="2" t="s">
        <v>33</v>
      </c>
      <c r="B163" s="14" t="s">
        <v>208</v>
      </c>
      <c r="C163" s="9" t="s">
        <v>210</v>
      </c>
      <c r="D163" s="9" t="s">
        <v>208</v>
      </c>
    </row>
    <row r="164" spans="1:4">
      <c r="A164" s="2" t="s">
        <v>33</v>
      </c>
      <c r="B164" s="14" t="s">
        <v>209</v>
      </c>
      <c r="C164" s="9" t="s">
        <v>210</v>
      </c>
      <c r="D164" s="9" t="s">
        <v>209</v>
      </c>
    </row>
    <row r="165" spans="1:4">
      <c r="A165" s="2" t="s">
        <v>33</v>
      </c>
      <c r="B165" s="14" t="s">
        <v>204</v>
      </c>
      <c r="C165" s="9" t="s">
        <v>210</v>
      </c>
      <c r="D165" s="9" t="s">
        <v>204</v>
      </c>
    </row>
    <row r="166" spans="1:4">
      <c r="A166" s="2" t="s">
        <v>33</v>
      </c>
      <c r="B166" s="14" t="s">
        <v>203</v>
      </c>
      <c r="C166" s="9" t="s">
        <v>210</v>
      </c>
      <c r="D166" s="9" t="s">
        <v>203</v>
      </c>
    </row>
    <row r="167" spans="1:4">
      <c r="A167" s="14"/>
    </row>
    <row r="168" spans="1:4">
      <c r="A168" s="2" t="s">
        <v>38</v>
      </c>
      <c r="B168" s="9" t="s">
        <v>208</v>
      </c>
      <c r="C168" s="9" t="s">
        <v>211</v>
      </c>
      <c r="D168" s="9" t="s">
        <v>208</v>
      </c>
    </row>
    <row r="169" spans="1:4">
      <c r="A169" s="2" t="s">
        <v>38</v>
      </c>
      <c r="B169" s="9" t="s">
        <v>209</v>
      </c>
      <c r="C169" s="9" t="s">
        <v>211</v>
      </c>
      <c r="D169" s="9" t="s">
        <v>209</v>
      </c>
    </row>
    <row r="170" spans="1:4">
      <c r="A170" s="14"/>
    </row>
    <row r="171" spans="1:4">
      <c r="A171" s="2" t="s">
        <v>39</v>
      </c>
      <c r="B171" s="9" t="s">
        <v>212</v>
      </c>
      <c r="C171" s="9" t="s">
        <v>213</v>
      </c>
      <c r="D171" s="9" t="s">
        <v>212</v>
      </c>
    </row>
    <row r="172" spans="1:4">
      <c r="A172" s="2" t="s">
        <v>39</v>
      </c>
      <c r="B172" s="9" t="s">
        <v>92</v>
      </c>
      <c r="C172" s="9" t="s">
        <v>213</v>
      </c>
      <c r="D172" s="9" t="s">
        <v>92</v>
      </c>
    </row>
    <row r="173" spans="1:4">
      <c r="A173" s="2" t="s">
        <v>39</v>
      </c>
      <c r="B173" s="9" t="s">
        <v>209</v>
      </c>
      <c r="C173" s="9" t="s">
        <v>213</v>
      </c>
      <c r="D173" s="9" t="s">
        <v>209</v>
      </c>
    </row>
    <row r="174" spans="1:4">
      <c r="A174" s="14"/>
    </row>
    <row r="175" spans="1:4">
      <c r="A175" s="2" t="s">
        <v>40</v>
      </c>
      <c r="B175" s="2" t="s">
        <v>214</v>
      </c>
      <c r="C175" s="9" t="s">
        <v>215</v>
      </c>
      <c r="D175" s="9" t="s">
        <v>57</v>
      </c>
    </row>
    <row r="176" spans="1:4">
      <c r="A176" s="2" t="s">
        <v>40</v>
      </c>
      <c r="B176" s="2" t="s">
        <v>109</v>
      </c>
      <c r="C176" s="9" t="s">
        <v>215</v>
      </c>
      <c r="D176" s="9" t="s">
        <v>92</v>
      </c>
    </row>
    <row r="177" spans="1:4">
      <c r="A177" s="14"/>
    </row>
    <row r="178" spans="1:4">
      <c r="A178" s="2" t="s">
        <v>217</v>
      </c>
      <c r="B178" s="2" t="s">
        <v>30</v>
      </c>
      <c r="C178" s="9" t="s">
        <v>220</v>
      </c>
      <c r="D178" s="9" t="s">
        <v>221</v>
      </c>
    </row>
    <row r="179" spans="1:4">
      <c r="A179" s="2" t="s">
        <v>217</v>
      </c>
      <c r="B179" s="9" t="s">
        <v>219</v>
      </c>
      <c r="C179" s="9" t="s">
        <v>220</v>
      </c>
      <c r="D179" s="9" t="s">
        <v>222</v>
      </c>
    </row>
    <row r="180" spans="1:4">
      <c r="A180" s="14"/>
    </row>
    <row r="181" spans="1:4">
      <c r="A181" s="2" t="s">
        <v>218</v>
      </c>
      <c r="B181" s="9" t="s">
        <v>219</v>
      </c>
      <c r="C181" s="9" t="s">
        <v>240</v>
      </c>
      <c r="D181" s="9" t="s">
        <v>219</v>
      </c>
    </row>
    <row r="182" spans="1:4">
      <c r="A182" s="2" t="s">
        <v>218</v>
      </c>
      <c r="B182" s="9" t="s">
        <v>221</v>
      </c>
      <c r="C182" s="9" t="s">
        <v>240</v>
      </c>
      <c r="D182" s="9" t="s">
        <v>221</v>
      </c>
    </row>
    <row r="183" spans="1:4">
      <c r="A183" s="14"/>
    </row>
    <row r="184" spans="1:4">
      <c r="A184" s="2" t="s">
        <v>246</v>
      </c>
      <c r="B184" s="2" t="s">
        <v>247</v>
      </c>
      <c r="C184" s="9" t="s">
        <v>248</v>
      </c>
      <c r="D184" s="9" t="s">
        <v>298</v>
      </c>
    </row>
    <row r="185" spans="1:4">
      <c r="A185" s="14"/>
    </row>
    <row r="186" spans="1:4">
      <c r="A186" s="2" t="s">
        <v>249</v>
      </c>
      <c r="B186" s="2" t="s">
        <v>250</v>
      </c>
      <c r="C186" s="9" t="s">
        <v>252</v>
      </c>
      <c r="D186" s="9" t="s">
        <v>253</v>
      </c>
    </row>
    <row r="187" spans="1:4">
      <c r="A187" s="2" t="s">
        <v>249</v>
      </c>
      <c r="B187" s="2" t="s">
        <v>251</v>
      </c>
      <c r="C187" s="9" t="s">
        <v>252</v>
      </c>
      <c r="D187" s="9" t="s">
        <v>254</v>
      </c>
    </row>
    <row r="188" spans="1:4">
      <c r="A188" s="14"/>
    </row>
    <row r="189" spans="1:4">
      <c r="A189" s="2" t="s">
        <v>274</v>
      </c>
      <c r="B189" s="2" t="s">
        <v>275</v>
      </c>
      <c r="C189" s="9" t="s">
        <v>277</v>
      </c>
      <c r="D189" s="9" t="s">
        <v>278</v>
      </c>
    </row>
    <row r="190" spans="1:4">
      <c r="A190" s="2" t="s">
        <v>274</v>
      </c>
      <c r="B190" s="9" t="s">
        <v>276</v>
      </c>
      <c r="C190" s="9" t="s">
        <v>277</v>
      </c>
      <c r="D190" s="9" t="s">
        <v>279</v>
      </c>
    </row>
    <row r="191" spans="1:4">
      <c r="A191" s="14"/>
    </row>
    <row r="192" spans="1:4">
      <c r="A192" s="2" t="s">
        <v>367</v>
      </c>
      <c r="B192" s="2" t="s">
        <v>366</v>
      </c>
      <c r="C192" s="9" t="s">
        <v>280</v>
      </c>
      <c r="D192" s="9" t="s">
        <v>281</v>
      </c>
    </row>
    <row r="193" spans="1:4">
      <c r="A193" s="2" t="s">
        <v>351</v>
      </c>
      <c r="B193" s="2" t="s">
        <v>350</v>
      </c>
      <c r="C193" s="9" t="s">
        <v>67</v>
      </c>
      <c r="D193" s="9" t="s">
        <v>301</v>
      </c>
    </row>
    <row r="194" spans="1:4">
      <c r="A194" s="2" t="s">
        <v>29</v>
      </c>
      <c r="B194" s="2" t="s">
        <v>299</v>
      </c>
      <c r="C194" s="9" t="s">
        <v>67</v>
      </c>
      <c r="D194" s="9" t="s">
        <v>302</v>
      </c>
    </row>
    <row r="195" spans="1:4">
      <c r="A195" s="2" t="s">
        <v>29</v>
      </c>
      <c r="B195" s="2" t="s">
        <v>294</v>
      </c>
      <c r="C195" s="9" t="s">
        <v>67</v>
      </c>
      <c r="D195" s="9" t="s">
        <v>303</v>
      </c>
    </row>
    <row r="196" spans="1:4">
      <c r="A196" s="2" t="s">
        <v>29</v>
      </c>
      <c r="B196" s="2" t="s">
        <v>300</v>
      </c>
      <c r="C196" s="9" t="s">
        <v>67</v>
      </c>
      <c r="D196" s="9" t="s">
        <v>304</v>
      </c>
    </row>
    <row r="197" spans="1:4">
      <c r="A197" s="2"/>
      <c r="B197" s="2"/>
    </row>
    <row r="198" spans="1:4">
      <c r="A198" s="14"/>
    </row>
    <row r="199" spans="1:4">
      <c r="A199" s="2" t="s">
        <v>282</v>
      </c>
      <c r="C199" s="9" t="s">
        <v>289</v>
      </c>
      <c r="D199" s="9" t="s">
        <v>297</v>
      </c>
    </row>
    <row r="200" spans="1:4">
      <c r="A200" s="14"/>
    </row>
    <row r="201" spans="1:4">
      <c r="A201" s="2" t="s">
        <v>295</v>
      </c>
      <c r="B201" s="2" t="s">
        <v>296</v>
      </c>
      <c r="C201" s="9" t="s">
        <v>305</v>
      </c>
      <c r="D201" s="2" t="s">
        <v>296</v>
      </c>
    </row>
    <row r="202" spans="1:4">
      <c r="A202" s="2" t="s">
        <v>295</v>
      </c>
    </row>
    <row r="203" spans="1:4">
      <c r="A203" s="16"/>
    </row>
    <row r="204" spans="1:4">
      <c r="A204" s="2" t="s">
        <v>286</v>
      </c>
      <c r="B204" s="2" t="s">
        <v>288</v>
      </c>
      <c r="C204" s="9" t="s">
        <v>290</v>
      </c>
      <c r="D204" s="9" t="s">
        <v>292</v>
      </c>
    </row>
    <row r="205" spans="1:4">
      <c r="A205" s="2" t="s">
        <v>286</v>
      </c>
      <c r="B205" s="2" t="s">
        <v>287</v>
      </c>
      <c r="C205" s="9" t="s">
        <v>290</v>
      </c>
      <c r="D205" s="9" t="s">
        <v>291</v>
      </c>
    </row>
    <row r="206" spans="1:4">
      <c r="A206" s="16"/>
    </row>
    <row r="207" spans="1:4">
      <c r="A207" s="2" t="s">
        <v>284</v>
      </c>
      <c r="B207" s="2" t="s">
        <v>285</v>
      </c>
      <c r="C207" s="9" t="s">
        <v>293</v>
      </c>
      <c r="D207" s="2" t="s">
        <v>285</v>
      </c>
    </row>
    <row r="208" spans="1:4">
      <c r="A208" s="2" t="s">
        <v>284</v>
      </c>
      <c r="B208" s="2" t="s">
        <v>306</v>
      </c>
      <c r="C208" s="9" t="s">
        <v>293</v>
      </c>
      <c r="D208" s="2" t="s">
        <v>306</v>
      </c>
    </row>
    <row r="209" spans="1:4">
      <c r="A209" s="2" t="s">
        <v>284</v>
      </c>
      <c r="B209" s="2" t="s">
        <v>307</v>
      </c>
      <c r="C209" s="9" t="s">
        <v>293</v>
      </c>
      <c r="D209" s="9" t="s">
        <v>309</v>
      </c>
    </row>
    <row r="210" spans="1:4">
      <c r="A210" s="2" t="s">
        <v>284</v>
      </c>
      <c r="B210" s="2" t="s">
        <v>308</v>
      </c>
      <c r="C210" s="9" t="s">
        <v>293</v>
      </c>
      <c r="D210" s="9" t="s">
        <v>310</v>
      </c>
    </row>
    <row r="211" spans="1:4">
      <c r="A211" s="2" t="s">
        <v>284</v>
      </c>
      <c r="B211" s="2" t="s">
        <v>343</v>
      </c>
      <c r="C211" s="9" t="s">
        <v>293</v>
      </c>
      <c r="D211" s="9" t="s">
        <v>345</v>
      </c>
    </row>
    <row r="212" spans="1:4">
      <c r="A212"/>
      <c r="B212" s="2"/>
    </row>
    <row r="213" spans="1:4">
      <c r="A213" s="2" t="s">
        <v>29</v>
      </c>
      <c r="B213" s="2" t="s">
        <v>311</v>
      </c>
      <c r="C213" s="9" t="s">
        <v>315</v>
      </c>
      <c r="D213" s="9" t="s">
        <v>316</v>
      </c>
    </row>
    <row r="214" spans="1:4">
      <c r="A214" s="2" t="s">
        <v>29</v>
      </c>
      <c r="B214" s="2" t="s">
        <v>325</v>
      </c>
      <c r="C214" s="9" t="s">
        <v>315</v>
      </c>
      <c r="D214" s="9" t="s">
        <v>328</v>
      </c>
    </row>
    <row r="215" spans="1:4">
      <c r="A215" s="2" t="s">
        <v>29</v>
      </c>
      <c r="B215" s="2" t="s">
        <v>326</v>
      </c>
      <c r="C215" s="9" t="s">
        <v>315</v>
      </c>
      <c r="D215" s="9" t="s">
        <v>329</v>
      </c>
    </row>
    <row r="216" spans="1:4">
      <c r="A216" s="2" t="s">
        <v>29</v>
      </c>
      <c r="B216" s="2" t="s">
        <v>314</v>
      </c>
      <c r="C216" s="9" t="s">
        <v>315</v>
      </c>
      <c r="D216" s="9" t="s">
        <v>330</v>
      </c>
    </row>
    <row r="217" spans="1:4">
      <c r="A217" s="2" t="s">
        <v>29</v>
      </c>
      <c r="B217" s="2" t="s">
        <v>327</v>
      </c>
      <c r="C217" s="9" t="s">
        <v>315</v>
      </c>
      <c r="D217" s="9" t="s">
        <v>331</v>
      </c>
    </row>
    <row r="218" spans="1:4">
      <c r="A218"/>
      <c r="B218"/>
    </row>
    <row r="219" spans="1:4">
      <c r="A219"/>
      <c r="B219"/>
    </row>
    <row r="220" spans="1:4">
      <c r="A220" s="2" t="s">
        <v>29</v>
      </c>
      <c r="B220" s="2" t="s">
        <v>312</v>
      </c>
      <c r="C220" s="9" t="s">
        <v>315</v>
      </c>
      <c r="D220" s="9" t="s">
        <v>317</v>
      </c>
    </row>
    <row r="221" spans="1:4">
      <c r="A221" s="2" t="s">
        <v>29</v>
      </c>
      <c r="B221" s="2" t="s">
        <v>313</v>
      </c>
      <c r="C221" s="9" t="s">
        <v>315</v>
      </c>
      <c r="D221" s="9" t="s">
        <v>321</v>
      </c>
    </row>
    <row r="222" spans="1:4">
      <c r="A222" s="2" t="s">
        <v>29</v>
      </c>
      <c r="B222" s="2" t="s">
        <v>318</v>
      </c>
      <c r="C222" s="9" t="s">
        <v>315</v>
      </c>
      <c r="D222" s="9" t="s">
        <v>322</v>
      </c>
    </row>
    <row r="223" spans="1:4">
      <c r="A223" s="2" t="s">
        <v>29</v>
      </c>
      <c r="B223" s="2" t="s">
        <v>319</v>
      </c>
      <c r="C223" s="9" t="s">
        <v>315</v>
      </c>
      <c r="D223" s="9" t="s">
        <v>323</v>
      </c>
    </row>
    <row r="224" spans="1:4">
      <c r="A224" s="2" t="s">
        <v>29</v>
      </c>
      <c r="B224" s="2" t="s">
        <v>320</v>
      </c>
      <c r="C224" s="9" t="s">
        <v>315</v>
      </c>
      <c r="D224" s="9" t="s">
        <v>324</v>
      </c>
    </row>
    <row r="225" spans="1:4">
      <c r="A225"/>
      <c r="B225"/>
    </row>
    <row r="226" spans="1:4">
      <c r="A226"/>
      <c r="B226"/>
    </row>
    <row r="227" spans="1:4">
      <c r="A227" s="2" t="s">
        <v>332</v>
      </c>
      <c r="B227" s="2" t="s">
        <v>341</v>
      </c>
      <c r="C227" s="9" t="s">
        <v>333</v>
      </c>
      <c r="D227" s="9" t="s">
        <v>355</v>
      </c>
    </row>
    <row r="228" spans="1:4">
      <c r="A228" s="2" t="s">
        <v>332</v>
      </c>
      <c r="B228" s="2" t="s">
        <v>344</v>
      </c>
      <c r="C228" s="9" t="s">
        <v>333</v>
      </c>
      <c r="D228" s="9" t="s">
        <v>356</v>
      </c>
    </row>
    <row r="229" spans="1:4">
      <c r="A229" s="2" t="s">
        <v>332</v>
      </c>
      <c r="B229" s="2" t="s">
        <v>340</v>
      </c>
      <c r="C229" s="9" t="s">
        <v>333</v>
      </c>
      <c r="D229" s="9" t="s">
        <v>357</v>
      </c>
    </row>
    <row r="230" spans="1:4">
      <c r="A230"/>
      <c r="B230"/>
    </row>
    <row r="231" spans="1:4">
      <c r="A231" s="2" t="s">
        <v>295</v>
      </c>
      <c r="B231" s="2" t="s">
        <v>334</v>
      </c>
      <c r="C231" s="9" t="s">
        <v>336</v>
      </c>
      <c r="D231" s="9" t="s">
        <v>337</v>
      </c>
    </row>
    <row r="232" spans="1:4">
      <c r="A232" s="2" t="s">
        <v>295</v>
      </c>
      <c r="B232" t="s">
        <v>335</v>
      </c>
      <c r="C232" s="9" t="s">
        <v>336</v>
      </c>
      <c r="D232" s="9" t="s">
        <v>338</v>
      </c>
    </row>
    <row r="233" spans="1:4">
      <c r="A233"/>
      <c r="B233"/>
    </row>
    <row r="234" spans="1:4">
      <c r="A234" s="2" t="s">
        <v>368</v>
      </c>
      <c r="B234" s="2" t="s">
        <v>369</v>
      </c>
      <c r="C234" s="9" t="s">
        <v>372</v>
      </c>
      <c r="D234" s="9" t="s">
        <v>371</v>
      </c>
    </row>
    <row r="235" spans="1:4">
      <c r="A235" s="2" t="s">
        <v>368</v>
      </c>
      <c r="B235" s="2" t="s">
        <v>370</v>
      </c>
      <c r="C235" s="9" t="s">
        <v>372</v>
      </c>
      <c r="D235" s="9" t="s">
        <v>373</v>
      </c>
    </row>
    <row r="236" spans="1:4">
      <c r="A236"/>
      <c r="B236"/>
    </row>
    <row r="237" spans="1:4">
      <c r="A237"/>
      <c r="B237"/>
    </row>
    <row r="238" spans="1:4">
      <c r="A238" s="2" t="s">
        <v>374</v>
      </c>
      <c r="B238" s="2" t="s">
        <v>375</v>
      </c>
      <c r="C238" s="9" t="s">
        <v>333</v>
      </c>
      <c r="D238" s="9" t="s">
        <v>393</v>
      </c>
    </row>
    <row r="239" spans="1:4">
      <c r="A239" s="2" t="s">
        <v>374</v>
      </c>
      <c r="B239" s="2" t="s">
        <v>391</v>
      </c>
      <c r="C239" s="9" t="s">
        <v>333</v>
      </c>
      <c r="D239" s="9" t="s">
        <v>394</v>
      </c>
    </row>
    <row r="240" spans="1:4">
      <c r="A240" s="2" t="s">
        <v>374</v>
      </c>
      <c r="B240" s="2" t="s">
        <v>383</v>
      </c>
      <c r="C240" s="9" t="s">
        <v>333</v>
      </c>
      <c r="D240" s="9" t="s">
        <v>395</v>
      </c>
    </row>
    <row r="241" spans="1:4">
      <c r="A241" s="2" t="s">
        <v>374</v>
      </c>
      <c r="B241" s="9" t="s">
        <v>392</v>
      </c>
      <c r="C241" s="9" t="s">
        <v>333</v>
      </c>
      <c r="D241" s="9" t="s">
        <v>390</v>
      </c>
    </row>
    <row r="242" spans="1:4">
      <c r="A242" s="13"/>
    </row>
    <row r="243" spans="1:4">
      <c r="A243" s="2" t="s">
        <v>386</v>
      </c>
      <c r="B243" s="9" t="s">
        <v>396</v>
      </c>
      <c r="C243" s="9" t="s">
        <v>398</v>
      </c>
      <c r="D243" s="9" t="s">
        <v>396</v>
      </c>
    </row>
    <row r="244" spans="1:4">
      <c r="A244" s="2" t="s">
        <v>386</v>
      </c>
      <c r="B244" s="9" t="s">
        <v>397</v>
      </c>
      <c r="C244" s="9" t="s">
        <v>398</v>
      </c>
      <c r="D244" s="9" t="s">
        <v>397</v>
      </c>
    </row>
    <row r="245" spans="1:4">
      <c r="A245" s="13"/>
    </row>
    <row r="246" spans="1:4">
      <c r="A246" s="13"/>
    </row>
    <row r="247" spans="1:4">
      <c r="A247" s="13"/>
    </row>
    <row r="248" spans="1:4">
      <c r="A248" s="13"/>
      <c r="B248" s="13"/>
    </row>
    <row r="249" spans="1:4">
      <c r="A249" s="13"/>
      <c r="B249" s="13"/>
    </row>
    <row r="250" spans="1:4">
      <c r="A250" s="13"/>
    </row>
    <row r="251" spans="1:4">
      <c r="A251" s="13"/>
    </row>
    <row r="252" spans="1:4">
      <c r="A252" s="7"/>
    </row>
    <row r="253" spans="1:4">
      <c r="A253" s="7"/>
    </row>
    <row r="254" spans="1:4">
      <c r="A254" s="7"/>
    </row>
    <row r="255" spans="1:4">
      <c r="A255" s="7"/>
    </row>
    <row r="256" spans="1:4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2">
      <c r="A289" s="7"/>
    </row>
    <row r="290" spans="1:2">
      <c r="A290" s="7"/>
    </row>
    <row r="291" spans="1:2">
      <c r="A291" s="7"/>
    </row>
    <row r="292" spans="1:2">
      <c r="A292" s="7"/>
    </row>
    <row r="293" spans="1:2">
      <c r="A293" s="7"/>
    </row>
    <row r="294" spans="1:2">
      <c r="A294" s="7"/>
    </row>
    <row r="295" spans="1:2">
      <c r="A295" s="7"/>
    </row>
    <row r="296" spans="1:2">
      <c r="A296" s="7"/>
    </row>
    <row r="297" spans="1:2">
      <c r="A297" s="7"/>
    </row>
    <row r="298" spans="1:2">
      <c r="A298" s="7"/>
    </row>
    <row r="299" spans="1:2">
      <c r="A299" s="7"/>
    </row>
    <row r="300" spans="1:2">
      <c r="A300" s="7"/>
      <c r="B300" s="7"/>
    </row>
    <row r="301" spans="1:2">
      <c r="A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 s="13"/>
    </row>
    <row r="310" spans="1:2">
      <c r="A310" s="13"/>
    </row>
    <row r="311" spans="1:2">
      <c r="A311" s="13"/>
    </row>
    <row r="312" spans="1:2">
      <c r="A312" s="7"/>
    </row>
    <row r="313" spans="1:2">
      <c r="A313" s="13"/>
    </row>
    <row r="314" spans="1:2">
      <c r="A314" s="7"/>
    </row>
    <row r="315" spans="1:2">
      <c r="A315" s="7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 s="13"/>
    </row>
    <row r="321" spans="1:2">
      <c r="A321"/>
      <c r="B321"/>
    </row>
    <row r="322" spans="1:2">
      <c r="A322" s="13"/>
      <c r="B322" s="13"/>
    </row>
    <row r="323" spans="1:2">
      <c r="A323" s="13"/>
      <c r="B323" s="13"/>
    </row>
    <row r="324" spans="1:2">
      <c r="A324" s="14"/>
      <c r="B324" s="14"/>
    </row>
    <row r="325" spans="1:2">
      <c r="A325" s="14"/>
    </row>
    <row r="326" spans="1:2">
      <c r="A326" s="14"/>
    </row>
    <row r="327" spans="1:2">
      <c r="A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50" spans="1:2">
      <c r="A350" s="17"/>
      <c r="B350" s="18"/>
    </row>
    <row r="351" spans="1:2">
      <c r="A351" s="17"/>
      <c r="B351" s="18"/>
    </row>
    <row r="352" spans="1:2">
      <c r="A352" s="17"/>
      <c r="B352" s="17"/>
    </row>
    <row r="353" spans="1:2">
      <c r="A353" s="17"/>
      <c r="B353" s="17"/>
    </row>
    <row r="354" spans="1:2">
      <c r="A354" s="17"/>
      <c r="B354" s="17"/>
    </row>
    <row r="355" spans="1:2">
      <c r="A355" s="17"/>
      <c r="B355" s="18"/>
    </row>
    <row r="356" spans="1:2">
      <c r="A356" s="17"/>
      <c r="B356" s="17"/>
    </row>
    <row r="357" spans="1:2">
      <c r="A357" s="17"/>
      <c r="B357" s="17"/>
    </row>
    <row r="359" spans="1:2">
      <c r="A359" s="13"/>
    </row>
    <row r="361" spans="1:2">
      <c r="A361" s="7"/>
    </row>
    <row r="363" spans="1:2">
      <c r="A363" s="14"/>
      <c r="B363" s="14"/>
    </row>
    <row r="365" spans="1:2">
      <c r="A365" s="14"/>
    </row>
    <row r="366" spans="1:2">
      <c r="A366" s="14"/>
    </row>
    <row r="367" spans="1:2">
      <c r="A367" s="14"/>
    </row>
    <row r="368" spans="1:2">
      <c r="A368" s="14"/>
      <c r="B368" s="14"/>
    </row>
    <row r="369" spans="1:2">
      <c r="A369" s="14"/>
      <c r="B369" s="14"/>
    </row>
    <row r="370" spans="1:2">
      <c r="A370" s="14"/>
      <c r="B370" s="14"/>
    </row>
    <row r="371" spans="1:2">
      <c r="A371" s="14"/>
      <c r="B371" s="14"/>
    </row>
    <row r="373" spans="1:2">
      <c r="A373" s="7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80" spans="1:2">
      <c r="A380" s="17"/>
      <c r="B380" s="17"/>
    </row>
    <row r="381" spans="1:2">
      <c r="A381" s="17"/>
      <c r="B381" s="17"/>
    </row>
    <row r="384" spans="1:2">
      <c r="A384" s="19"/>
      <c r="B384" s="20"/>
    </row>
    <row r="385" spans="1:2">
      <c r="A385" s="19"/>
    </row>
    <row r="387" spans="1:2">
      <c r="A387" s="19"/>
    </row>
    <row r="388" spans="1:2">
      <c r="A388" s="19"/>
    </row>
    <row r="389" spans="1:2">
      <c r="A389" s="19"/>
    </row>
    <row r="390" spans="1:2">
      <c r="A390" s="19"/>
    </row>
    <row r="392" spans="1:2">
      <c r="A392" s="19"/>
    </row>
    <row r="394" spans="1:2">
      <c r="A394" s="21"/>
      <c r="B394" s="21"/>
    </row>
    <row r="395" spans="1:2">
      <c r="A395" s="13"/>
    </row>
    <row r="397" spans="1:2">
      <c r="A397" s="14"/>
      <c r="B397" s="14"/>
    </row>
    <row r="398" spans="1:2">
      <c r="A398" s="15"/>
      <c r="B398" s="15"/>
    </row>
    <row r="400" spans="1:2">
      <c r="A400" s="17"/>
      <c r="B400" s="18"/>
    </row>
    <row r="401" spans="1:2">
      <c r="A401" s="17"/>
      <c r="B401" s="17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4">
      <c r="A433"/>
      <c r="B433"/>
    </row>
    <row r="434" spans="1:4">
      <c r="A434"/>
      <c r="B434"/>
    </row>
    <row r="435" spans="1:4">
      <c r="A435"/>
      <c r="B435"/>
    </row>
    <row r="436" spans="1:4">
      <c r="A436"/>
      <c r="B436"/>
    </row>
    <row r="437" spans="1:4">
      <c r="A437"/>
      <c r="B437"/>
    </row>
    <row r="438" spans="1:4">
      <c r="A438"/>
      <c r="B438"/>
    </row>
    <row r="439" spans="1:4">
      <c r="A439"/>
      <c r="B439"/>
    </row>
    <row r="440" spans="1:4">
      <c r="A440"/>
      <c r="B440"/>
    </row>
    <row r="441" spans="1:4">
      <c r="A441"/>
      <c r="B441"/>
    </row>
    <row r="442" spans="1:4">
      <c r="A442"/>
      <c r="B442"/>
    </row>
    <row r="443" spans="1:4">
      <c r="A443"/>
      <c r="B443"/>
    </row>
    <row r="445" spans="1:4">
      <c r="A445" s="19"/>
      <c r="B445" s="20"/>
      <c r="D445" s="20"/>
    </row>
    <row r="447" spans="1:4">
      <c r="A447" s="7"/>
    </row>
    <row r="448" spans="1:4">
      <c r="A448" s="7"/>
    </row>
    <row r="450" spans="1:2">
      <c r="A450"/>
      <c r="B450"/>
    </row>
    <row r="451" spans="1:2">
      <c r="A451"/>
      <c r="B451"/>
    </row>
    <row r="452" spans="1:2">
      <c r="A452"/>
      <c r="B452"/>
    </row>
    <row r="454" spans="1:2">
      <c r="A454" s="17"/>
      <c r="B454" s="18"/>
    </row>
    <row r="455" spans="1:2">
      <c r="A455" s="17"/>
      <c r="B455" s="17"/>
    </row>
    <row r="456" spans="1:2">
      <c r="A456" s="17"/>
      <c r="B456" s="18"/>
    </row>
    <row r="457" spans="1:2">
      <c r="A457" s="17"/>
      <c r="B457" s="18"/>
    </row>
    <row r="458" spans="1:2">
      <c r="A458" s="17"/>
      <c r="B458" s="18"/>
    </row>
    <row r="459" spans="1:2">
      <c r="A459" s="17"/>
      <c r="B459" s="17"/>
    </row>
    <row r="460" spans="1:2">
      <c r="A460" s="21"/>
      <c r="B460" s="21"/>
    </row>
    <row r="461" spans="1:2">
      <c r="A461" s="21"/>
    </row>
    <row r="462" spans="1:2">
      <c r="A462" s="14"/>
      <c r="B462" s="14"/>
    </row>
    <row r="463" spans="1:2">
      <c r="A463" s="14"/>
      <c r="B463" s="14"/>
    </row>
    <row r="464" spans="1:2">
      <c r="A464" s="21"/>
    </row>
    <row r="466" spans="1:2">
      <c r="A466" s="7"/>
      <c r="B466" s="7"/>
    </row>
    <row r="468" spans="1:2">
      <c r="A468" s="14"/>
    </row>
    <row r="469" spans="1:2">
      <c r="A469" s="14"/>
    </row>
    <row r="470" spans="1:2">
      <c r="A470" s="14"/>
    </row>
    <row r="471" spans="1:2">
      <c r="A471" s="14"/>
    </row>
    <row r="472" spans="1:2">
      <c r="A472" s="14"/>
    </row>
    <row r="474" spans="1:2">
      <c r="A474" s="15"/>
    </row>
    <row r="476" spans="1:2">
      <c r="A476"/>
      <c r="B476"/>
    </row>
    <row r="477" spans="1:2">
      <c r="A477" s="17"/>
      <c r="B477" s="17"/>
    </row>
    <row r="478" spans="1:2">
      <c r="A478" s="17"/>
      <c r="B478" s="17"/>
    </row>
    <row r="479" spans="1:2">
      <c r="A479" s="17"/>
      <c r="B479" s="17"/>
    </row>
    <row r="480" spans="1:2">
      <c r="A480" s="18"/>
      <c r="B480" s="17"/>
    </row>
    <row r="482" spans="1:4">
      <c r="A482" s="17"/>
      <c r="B482" s="17"/>
    </row>
    <row r="483" spans="1:4">
      <c r="A483"/>
      <c r="B483"/>
      <c r="D483"/>
    </row>
    <row r="484" spans="1:4">
      <c r="A484"/>
      <c r="B484"/>
      <c r="D484"/>
    </row>
    <row r="485" spans="1:4">
      <c r="A485"/>
      <c r="B485"/>
      <c r="D485"/>
    </row>
    <row r="486" spans="1:4">
      <c r="A486"/>
      <c r="B486"/>
      <c r="D486"/>
    </row>
    <row r="487" spans="1:4">
      <c r="A487" s="14"/>
    </row>
    <row r="488" spans="1:4">
      <c r="A488"/>
      <c r="B488"/>
    </row>
    <row r="490" spans="1:4">
      <c r="A490" s="17"/>
      <c r="B490" s="17"/>
    </row>
    <row r="492" spans="1:4">
      <c r="A492" s="13"/>
    </row>
    <row r="493" spans="1:4">
      <c r="A493" s="7"/>
      <c r="B493" s="7"/>
    </row>
    <row r="494" spans="1:4">
      <c r="A494" s="7"/>
    </row>
    <row r="495" spans="1:4">
      <c r="A495" s="14"/>
    </row>
    <row r="496" spans="1:4">
      <c r="A496" s="7"/>
      <c r="B496" s="7"/>
    </row>
    <row r="497" spans="1:10">
      <c r="A497"/>
      <c r="B497"/>
    </row>
    <row r="498" spans="1:10">
      <c r="A498" s="17"/>
      <c r="B498" s="17"/>
    </row>
    <row r="499" spans="1:10">
      <c r="A499" s="17"/>
      <c r="B499" s="17"/>
    </row>
    <row r="500" spans="1:10">
      <c r="A500" s="17"/>
      <c r="B500" s="17"/>
    </row>
    <row r="501" spans="1:10">
      <c r="A501" s="17"/>
      <c r="B501" s="17"/>
    </row>
    <row r="502" spans="1:10">
      <c r="A502" s="17"/>
      <c r="B502" s="17"/>
    </row>
    <row r="503" spans="1:10">
      <c r="A503" s="7"/>
      <c r="B503" s="7"/>
    </row>
    <row r="504" spans="1:10">
      <c r="A504" s="7"/>
      <c r="B504" s="7"/>
    </row>
    <row r="506" spans="1:10">
      <c r="A506" s="15"/>
      <c r="B506" s="15"/>
    </row>
    <row r="508" spans="1:10">
      <c r="A508" s="7"/>
      <c r="B508" s="7"/>
    </row>
    <row r="509" spans="1:10">
      <c r="A509" s="19"/>
      <c r="B509" s="20"/>
    </row>
    <row r="510" spans="1:10">
      <c r="A510" s="7"/>
      <c r="B510" s="7"/>
    </row>
    <row r="511" spans="1:10">
      <c r="A511" s="22"/>
      <c r="B511" s="22"/>
      <c r="J511" s="7"/>
    </row>
    <row r="512" spans="1:10">
      <c r="A512" s="7"/>
      <c r="B512" s="7"/>
      <c r="J512" s="7"/>
    </row>
    <row r="513" spans="1:10">
      <c r="A513" s="21"/>
      <c r="B513" s="21"/>
      <c r="J513" s="7"/>
    </row>
    <row r="514" spans="1:10">
      <c r="A514" s="7"/>
      <c r="B514" s="7"/>
      <c r="J514" s="7"/>
    </row>
    <row r="515" spans="1:10">
      <c r="A515" s="13"/>
      <c r="B515" s="7"/>
      <c r="J515" s="7"/>
    </row>
    <row r="516" spans="1:10">
      <c r="A516" s="13"/>
      <c r="B516" s="7"/>
      <c r="J516" s="7"/>
    </row>
    <row r="517" spans="1:10">
      <c r="A517" s="7"/>
      <c r="B517" s="7"/>
      <c r="J517" s="7"/>
    </row>
    <row r="518" spans="1:10">
      <c r="A518" s="7"/>
      <c r="B518" s="7"/>
      <c r="J518" s="7"/>
    </row>
    <row r="519" spans="1:10">
      <c r="A519" s="19"/>
      <c r="B519" s="20"/>
      <c r="J519" s="7"/>
    </row>
    <row r="520" spans="1:10">
      <c r="A520" s="7"/>
      <c r="J520" s="7"/>
    </row>
    <row r="521" spans="1:10">
      <c r="A521"/>
      <c r="B521"/>
      <c r="J521" s="7"/>
    </row>
    <row r="522" spans="1:10">
      <c r="A522"/>
      <c r="B522"/>
      <c r="J522" s="7"/>
    </row>
    <row r="523" spans="1:10">
      <c r="A523"/>
      <c r="B523"/>
    </row>
    <row r="524" spans="1:10">
      <c r="A524"/>
      <c r="B524"/>
    </row>
    <row r="525" spans="1:10">
      <c r="A525" s="7"/>
    </row>
    <row r="526" spans="1:10">
      <c r="A526" s="7"/>
    </row>
    <row r="527" spans="1:10">
      <c r="A527" s="7"/>
    </row>
    <row r="528" spans="1:10">
      <c r="A528" s="14"/>
      <c r="B528" s="14"/>
    </row>
    <row r="529" spans="1:4">
      <c r="A529" s="14"/>
    </row>
    <row r="530" spans="1:4">
      <c r="A530" s="14"/>
    </row>
    <row r="531" spans="1:4">
      <c r="A531" s="14"/>
    </row>
    <row r="532" spans="1:4">
      <c r="A532" s="7"/>
    </row>
    <row r="533" spans="1:4">
      <c r="A533" s="14"/>
      <c r="B533" s="14"/>
      <c r="D533" s="14"/>
    </row>
    <row r="534" spans="1:4">
      <c r="A534" s="14"/>
    </row>
    <row r="535" spans="1:4">
      <c r="A535" s="7"/>
    </row>
    <row r="536" spans="1:4">
      <c r="A536" s="7"/>
      <c r="B536" s="7"/>
    </row>
    <row r="537" spans="1:4">
      <c r="A537" s="7"/>
    </row>
    <row r="538" spans="1:4">
      <c r="A538" s="7"/>
    </row>
    <row r="539" spans="1:4">
      <c r="A539" s="7"/>
    </row>
    <row r="540" spans="1:4">
      <c r="A540" s="13"/>
    </row>
    <row r="541" spans="1:4">
      <c r="A541" s="17"/>
    </row>
    <row r="542" spans="1:4">
      <c r="A542"/>
      <c r="B542"/>
    </row>
    <row r="544" spans="1:4">
      <c r="A544"/>
      <c r="B544"/>
    </row>
    <row r="545" spans="1:2">
      <c r="A545"/>
      <c r="B545"/>
    </row>
    <row r="547" spans="1:2">
      <c r="A547" s="17"/>
      <c r="B547" s="17"/>
    </row>
    <row r="548" spans="1:2">
      <c r="A548" s="17"/>
      <c r="B548" s="18"/>
    </row>
    <row r="550" spans="1:2">
      <c r="A550" s="14"/>
      <c r="B550" s="14"/>
    </row>
    <row r="551" spans="1:2">
      <c r="A551" s="16"/>
      <c r="B551" s="16"/>
    </row>
    <row r="552" spans="1:2">
      <c r="A552" s="16"/>
    </row>
    <row r="553" spans="1:2">
      <c r="A553" s="16"/>
    </row>
    <row r="554" spans="1:2">
      <c r="A554" s="16"/>
    </row>
    <row r="556" spans="1:2">
      <c r="A556" s="17"/>
      <c r="B556" s="17"/>
    </row>
    <row r="557" spans="1:2">
      <c r="A557" s="17"/>
      <c r="B557" s="18"/>
    </row>
    <row r="559" spans="1:2">
      <c r="A559" s="7"/>
    </row>
    <row r="560" spans="1:2">
      <c r="A560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 s="22"/>
    </row>
    <row r="593" spans="1:2">
      <c r="A593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M포인트몰양식</vt:lpstr>
      <vt:lpstr>리큐엠송장양식</vt:lpstr>
      <vt:lpstr>데이터_new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Maketing_</dc:creator>
  <cp:lastModifiedBy>nno7179@naver.com</cp:lastModifiedBy>
  <dcterms:created xsi:type="dcterms:W3CDTF">2024-05-23T06:23:00Z</dcterms:created>
  <dcterms:modified xsi:type="dcterms:W3CDTF">2026-07-21T01:54:45Z</dcterms:modified>
</cp:coreProperties>
</file>